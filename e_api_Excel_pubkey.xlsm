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excel_pubkey\"/>
    </mc:Choice>
  </mc:AlternateContent>
  <bookViews>
    <workbookView xWindow="0" yWindow="0" windowWidth="11415" windowHeight="6600" tabRatio="580"/>
  </bookViews>
  <sheets>
    <sheet name="e_API_read_me" sheetId="2" r:id="rId1"/>
    <sheet name="暗号化" sheetId="13" r:id="rId2"/>
    <sheet name="ログイン" sheetId="1" r:id="rId3"/>
    <sheet name="照会" sheetId="7" r:id="rId4"/>
    <sheet name="現物" sheetId="8" r:id="rId5"/>
    <sheet name="信用" sheetId="6" r:id="rId6"/>
    <sheet name="訂正取消" sheetId="11" r:id="rId7"/>
    <sheet name="株価" sheetId="9" r:id="rId8"/>
    <sheet name="マスター" sheetId="10" r:id="rId9"/>
    <sheet name="api_応答" sheetId="4" r:id="rId10"/>
    <sheet name="結果" sheetId="5" r:id="rId11"/>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9" i="2" l="1"/>
  <c r="A111" i="2" s="1"/>
  <c r="A114" i="2" s="1"/>
  <c r="A116" i="2" s="1"/>
  <c r="B20" i="2" l="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<sst xmlns="http://schemas.openxmlformats.org/spreadsheetml/2006/main" count="1001" uniqueCount="627">
  <si>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</si>
  <si>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</si>
  <si>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</si>
  <si>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</si>
  <si>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</si>
  <si>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</si>
  <si>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</si>
  <si>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</si>
  <si>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</si>
  <si>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</si>
  <si>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</si>
  <si>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</si>
  <si>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</si>
  <si>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</si>
  <si>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</si>
  <si>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</si>
  <si>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</si>
  <si>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</si>
  <si>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</si>
  <si>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</si>
  <si>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</si>
  <si>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</si>
  <si>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</si>
  <si>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</si>
  <si>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</si>
  <si>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</si>
  <si>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</si>
  <si>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</si>
  <si>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</si>
  <si>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</si>
  <si>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</si>
  <si>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</si>
  <si>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</si>
  <si>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</si>
  <si>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</si>
  <si>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</si>
  <si>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</si>
  <si>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</si>
  <si>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</si>
  <si>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</si>
  <si>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</si>
  <si>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</si>
  <si>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</si>
  <si>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</si>
  <si>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</si>
  <si>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</si>
  <si>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</si>
  <si>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</si>
  <si>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</si>
  <si>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</si>
  <si>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</si>
  <si>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</si>
  <si>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</si>
  <si>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</si>
  <si>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</si>
  <si>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</si>
  <si>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</si>
  <si>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</si>
  <si>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</si>
  <si>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</si>
  <si>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</si>
  <si>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</si>
  <si>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</si>
  <si>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</si>
  <si>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</si>
  <si>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</si>
  <si>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</si>
  <si>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</si>
  <si>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</si>
  <si>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</si>
  <si>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</si>
  <si>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</si>
  <si>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</si>
  <si>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</si>
  <si>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</si>
  <si>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</si>
  <si>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</si>
  <si>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</si>
  <si>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</si>
  <si>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</si>
  <si>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</si>
  <si>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</si>
  <si>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</si>
  <si>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</si>
  <si>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</si>
  <si>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</si>
  <si>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</si>
  <si>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</si>
  <si>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</si>
  <si>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</si>
  <si>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</si>
  <si>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</si>
  <si>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</si>
  <si>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</si>
  <si>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</si>
  <si>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</si>
  <si>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</si>
  <si>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</si>
  <si>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</si>
  <si>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</si>
  <si>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</si>
  <si>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</si>
  <si>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</si>
  <si>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</si>
  <si>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</si>
  <si>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</si>
  <si>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</si>
  <si>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</si>
  <si>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</si>
  <si>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</si>
  <si>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</si>
  <si>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</si>
  <si>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</si>
  <si>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</si>
  <si>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</si>
  <si>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</si>
  <si>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</si>
  <si>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</si>
  <si>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</si>
  <si>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</si>
  <si>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</si>
  <si>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</si>
  <si>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</si>
  <si>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</si>
  <si>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</si>
  <si>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</si>
  <si>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</si>
  <si>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</si>
  <si>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</si>
  <si>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</si>
  <si>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</si>
  <si>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</si>
  <si>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</si>
  <si>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</si>
  <si>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</si>
  <si>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</si>
  <si>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</si>
  <si>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</si>
  <si>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</si>
  <si>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</si>
  <si>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</si>
  <si>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</si>
  <si>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</si>
  <si>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</si>
  <si>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</si>
  <si>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</si>
  <si>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</si>
  <si>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</si>
  <si>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</si>
  <si>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</si>
  <si>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</si>
  <si>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</si>
  <si>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</si>
  <si>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</si>
  <si>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</si>
  <si>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</si>
  <si>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</si>
  <si>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</si>
  <si>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</si>
  <si>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</si>
  <si>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</si>
  <si>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</si>
  <si>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</si>
  <si>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</si>
  <si>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</si>
  <si>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</si>
  <si>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</si>
  <si>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</si>
  <si>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</si>
  <si>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</si>
  <si>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</si>
  <si>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</si>
  <si>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</si>
  <si>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</si>
  <si>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</si>
  <si>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</si>
  <si>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</si>
  <si>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シート「api_応答」に、APIへの送信テキストと返信データを出力します。</t>
  </si>
  <si>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</si>
  <si>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</si>
  <si>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</si>
  <si>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</si>
  <si>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</si>
  <si>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</si>
  <si>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</si>
  <si>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</si>
  <si>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</si>
  <si>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</si>
  <si>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</si>
  <si>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</si>
  <si>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</si>
  <si>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</si>
  <si>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</si>
  <si>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</si>
  <si>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</si>
  <si>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</si>
  <si>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</si>
  <si>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</si>
  <si>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</si>
  <si>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</si>
  <si>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</si>
  <si>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</si>
  <si>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</si>
  <si>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</si>
  <si>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</si>
  <si>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</si>
  <si>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</si>
  <si>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</si>
  <si>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</si>
  <si>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</si>
  <si>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</si>
  <si>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</si>
  <si>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</si>
  <si>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</si>
  <si>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</si>
  <si>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</si>
  <si>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</si>
  <si>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</si>
  <si>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</si>
  <si>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</si>
  <si>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</si>
  <si>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</si>
  <si>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</si>
  <si>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</si>
  <si>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</si>
  <si>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</si>
  <si>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</si>
  <si>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</si>
  <si>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</si>
  <si>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</si>
  <si>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</si>
  <si>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</si>
  <si>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</si>
  <si>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</si>
  <si>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</si>
  <si>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</si>
  <si>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</si>
  <si>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</si>
  <si>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</si>
  <si>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</si>
  <si>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</si>
  <si>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</si>
  <si>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</si>
  <si>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</si>
  <si>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</si>
  <si>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</si>
  <si>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</si>
  <si>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</si>
  <si>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</si>
  <si>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</si>
  <si>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</si>
  <si>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</si>
  <si>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</si>
  <si>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</si>
  <si>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</si>
  <si>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</si>
  <si>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</si>
  <si>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</si>
  <si>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</si>
  <si>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</si>
  <si>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</si>
  <si>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</si>
  <si>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</si>
  <si>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</si>
  <si>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</si>
  <si>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</si>
  <si>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</si>
  <si>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</si>
  <si>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</si>
  <si>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</si>
  <si>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</si>
  <si>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</si>
  <si>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</si>
  <si>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</si>
  <si>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</si>
  <si>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</si>
  <si>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</si>
  <si>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</si>
  <si>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</si>
  <si>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</si>
  <si>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</si>
  <si>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</si>
  <si>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</si>
  <si>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</si>
  <si>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</si>
  <si>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</si>
  <si>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</si>
  <si>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</si>
  <si>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</si>
  <si>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</si>
  <si>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</si>
  <si>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</si>
  <si>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</si>
  <si>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</si>
  <si>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</si>
  <si>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</si>
  <si>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</si>
  <si>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</si>
  <si>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</si>
  <si>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</si>
  <si>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</si>
  <si>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</si>
  <si>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</si>
  <si>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</si>
  <si>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</si>
  <si>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</si>
  <si>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</si>
  <si>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</si>
  <si>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</si>
  <si>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</si>
  <si>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</si>
  <si>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</si>
  <si>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</si>
  <si>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</si>
  <si>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</si>
  <si>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</si>
  <si>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</si>
  <si>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</si>
  <si>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</si>
  <si>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</si>
  <si>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</si>
  <si>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</si>
  <si>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</si>
  <si>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</si>
  <si>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</si>
  <si>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</si>
  <si>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</si>
  <si>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</si>
  <si>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</si>
  <si>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</si>
  <si>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</si>
  <si>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</si>
  <si>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</si>
  <si>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</si>
  <si>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</si>
  <si>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</si>
  <si>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</si>
  <si>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</si>
  <si>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</si>
  <si>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</si>
  <si>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</si>
  <si>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</si>
  <si>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</si>
  <si>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</si>
  <si>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</si>
  <si>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</si>
  <si>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</si>
  <si>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</si>
  <si>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</si>
  <si>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</si>
  <si>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</si>
  <si>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CLMMfdsGetMarketPrice</t>
  </si>
  <si>
    <t>マスター</t>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</si>
  <si>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</si>
  <si>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</si>
  <si>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</si>
  <si>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</si>
  <si>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</si>
  <si>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</si>
  <si>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</si>
  <si>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</si>
  <si>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</si>
  <si>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</si>
  <si>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</si>
  <si>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</si>
  <si>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</si>
  <si>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</si>
  <si>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</si>
  <si>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</si>
  <si>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</si>
  <si>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</si>
  <si>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</si>
  <si>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</si>
  <si>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</si>
  <si>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</si>
  <si>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</si>
  <si>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</si>
  <si>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</si>
  <si>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</si>
  <si>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</si>
  <si>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</si>
  <si>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</si>
  <si>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</si>
  <si>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</si>
  <si>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</si>
  <si>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</si>
  <si>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</si>
  <si>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</si>
  <si>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</si>
  <si>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</si>
  <si>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</si>
  <si>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</si>
  <si>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</si>
  <si>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</si>
  <si>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</si>
  <si>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</si>
  <si>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</si>
  <si>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</si>
  <si>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</si>
  <si>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</si>
  <si>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2025.12.13-10:44:58.886</t>
  </si>
  <si>
    <t>p_no</t>
    <phoneticPr fontId="1"/>
  </si>
  <si>
    <t>p_sd_date</t>
    <phoneticPr fontId="1"/>
  </si>
  <si>
    <t>p_errno</t>
    <phoneticPr fontId="1"/>
  </si>
  <si>
    <t>p_err</t>
    <phoneticPr fontId="1"/>
  </si>
  <si>
    <t>2025.12.13-12:01:57.288</t>
  </si>
  <si>
    <t>p_no</t>
    <phoneticPr fontId="1"/>
  </si>
  <si>
    <t>p_sd_date</t>
    <phoneticPr fontId="1"/>
  </si>
  <si>
    <t>sCLMID</t>
    <phoneticPr fontId="1"/>
  </si>
  <si>
    <t>p_errno</t>
    <phoneticPr fontId="1"/>
  </si>
  <si>
    <t>sResultCode</t>
    <phoneticPr fontId="1"/>
  </si>
  <si>
    <t>sResultText</t>
    <phoneticPr fontId="1"/>
  </si>
  <si>
    <t>※株価データは「結果」シートに出力。</t>
    <rPh sb="1" eb="3">
      <t>カブカ</t>
    </rPh>
    <rPh sb="8" eb="10">
      <t>ケッカ</t>
    </rPh>
    <rPh sb="15" eb="17">
      <t>シュツリョク</t>
    </rPh>
    <phoneticPr fontId="1"/>
  </si>
  <si>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</si>
  <si>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</si>
  <si>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</si>
  <si>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</si>
  <si>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</si>
  <si>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sResultText</t>
    <phoneticPr fontId="1"/>
  </si>
  <si>
    <t>sCLMID</t>
    <phoneticPr fontId="1"/>
  </si>
  <si>
    <t>2025.12.23-08:40:09.574</t>
  </si>
  <si>
    <t>2025.12.23-08:42:06.351</t>
  </si>
  <si>
    <t>sResultCode</t>
    <phoneticPr fontId="1"/>
  </si>
  <si>
    <t>p_no</t>
    <phoneticPr fontId="1"/>
  </si>
  <si>
    <t>2025.12.23-09:21:22.362</t>
  </si>
  <si>
    <t>信用建玉明細にデータがありません</t>
  </si>
  <si>
    <t>p_no</t>
    <phoneticPr fontId="1"/>
  </si>
  <si>
    <t>p_sd_date</t>
    <phoneticPr fontId="1"/>
  </si>
  <si>
    <t>sCLMID</t>
    <phoneticPr fontId="1"/>
  </si>
  <si>
    <t>p_err</t>
    <phoneticPr fontId="1"/>
  </si>
  <si>
    <t>2025.12.23-09:26:12.167</t>
  </si>
  <si>
    <t>p_sd_date</t>
    <phoneticPr fontId="1"/>
  </si>
  <si>
    <t>p_errno</t>
    <phoneticPr fontId="1"/>
  </si>
  <si>
    <t>sResultCode</t>
    <phoneticPr fontId="1"/>
  </si>
  <si>
    <t>2025.12.23-09:26:34.880</t>
  </si>
  <si>
    <t>p_err</t>
    <phoneticPr fontId="1"/>
  </si>
  <si>
    <t>sResultCode</t>
    <phoneticPr fontId="1"/>
  </si>
  <si>
    <t>2025.12.23-09:28:46.879</t>
  </si>
  <si>
    <t>p_sd_date</t>
    <phoneticPr fontId="1"/>
  </si>
  <si>
    <t>sCLMID</t>
    <phoneticPr fontId="1"/>
  </si>
  <si>
    <t>　時間がかかりますのでご注意ください。</t>
    <rPh sb="12" eb="14">
      <t>チュウイ</t>
    </rPh>
    <phoneticPr fontId="1"/>
  </si>
  <si>
    <t>※マスター機能は、大量のデータを取得するため、</t>
    <rPh sb="5" eb="7">
      <t>キノウ</t>
    </rPh>
    <rPh sb="9" eb="11">
      <t>タイリョウ</t>
    </rPh>
    <rPh sb="16" eb="18">
      <t>シュトク</t>
    </rPh>
    <phoneticPr fontId="1"/>
  </si>
  <si>
    <t>本サンプルはｅ支店・ＡＰＩ の利用方法理解（学習）を主とした作成のため、不効率な部分があります。</t>
    <rPh sb="0" eb="1">
      <t>ホン</t>
    </rPh>
    <rPh sb="15" eb="17">
      <t>リヨウ</t>
    </rPh>
    <rPh sb="17" eb="19">
      <t>ホウホウ</t>
    </rPh>
    <rPh sb="19" eb="21">
      <t>リカイ</t>
    </rPh>
    <rPh sb="22" eb="24">
      <t>ガクシュウ</t>
    </rPh>
    <rPh sb="26" eb="27">
      <t>シュ</t>
    </rPh>
    <rPh sb="30" eb="32">
      <t>サクセイ</t>
    </rPh>
    <rPh sb="36" eb="39">
      <t>フコウリツ</t>
    </rPh>
    <rPh sb="40" eb="42">
      <t>ブブン</t>
    </rPh>
    <phoneticPr fontId="1"/>
  </si>
  <si>
    <t>ｅ支店・ＡＰＩの現行バージョンは v4r8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</si>
  <si>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CLMAuthLogoutAck</t>
  </si>
  <si>
    <t>https://demo-kabuka.e-shiten.jp/e_api_v4r10/</t>
    <phoneticPr fontId="1"/>
  </si>
  <si>
    <t>2026.10.02-14:26:51.482</t>
  </si>
  <si>
    <t>p_errno</t>
    <phoneticPr fontId="1"/>
  </si>
  <si>
    <t>2026.10.02-15:33:59.154</t>
  </si>
  <si>
    <t>p_no</t>
    <phoneticPr fontId="1"/>
  </si>
  <si>
    <t>p_sd_date</t>
    <phoneticPr fontId="1"/>
  </si>
  <si>
    <t>p_no</t>
    <phoneticPr fontId="1"/>
  </si>
  <si>
    <t>CLMStkGetIssueMstKabu</t>
  </si>
  <si>
    <t>CLMStkGetIssueSizyouMstKabu</t>
  </si>
  <si>
    <t>CLMStkGetIssueMstSak</t>
  </si>
  <si>
    <t>CLMStkGetIssueMstIndex</t>
  </si>
  <si>
    <t>p_err</t>
    <phoneticPr fontId="1"/>
  </si>
  <si>
    <t>sResultCode</t>
    <phoneticPr fontId="1"/>
  </si>
  <si>
    <t>sResultText</t>
    <phoneticPr fontId="1"/>
  </si>
  <si>
    <t>CLMStkGetIssueMstFx</t>
  </si>
  <si>
    <t>CLMStkGetDateZyouhou</t>
  </si>
  <si>
    <t>CLMStkGetYobine</t>
  </si>
  <si>
    <t>CLMStkGetIssueSizyouKiseiKabu</t>
  </si>
  <si>
    <t>CLMStkGetIssueSizyouKiseiHasei</t>
  </si>
  <si>
    <t>CLMStkGetHosyoukinMst</t>
  </si>
  <si>
    <t>CLMStkGetOrderErrReason</t>
  </si>
  <si>
    <t xml:space="preserve"> 1.株式銘柄マスタ問合取得</t>
  </si>
  <si>
    <t>2.株式銘柄市場マスタ問合取得</t>
  </si>
  <si>
    <t>3.先物銘柄マスタ問合取得</t>
  </si>
  <si>
    <t>4.オプション銘柄マスタ問合取得</t>
  </si>
  <si>
    <t>5.指数銘柄マスタ問合取得</t>
  </si>
  <si>
    <t>6.為替銘柄マスタ問合取得</t>
  </si>
  <si>
    <t>get_master_1_CLMStkGetIssueMstKabu</t>
  </si>
  <si>
    <t>get_master_1_CLMStkGetIssueMstKabu</t>
    <phoneticPr fontId="1"/>
  </si>
  <si>
    <t>get_master_2_CLMStkGetIssueSizyouMstKabu</t>
  </si>
  <si>
    <t>get_master_2_CLMStkGetIssueSizyouMstKabu</t>
    <phoneticPr fontId="1"/>
  </si>
  <si>
    <t>get_master_3_CLMStkGetIssueMstSak</t>
  </si>
  <si>
    <t>get_master_3_CLMStkGetIssueMstSak</t>
    <phoneticPr fontId="1"/>
  </si>
  <si>
    <t>get_master_4_CLMStkGetIssueMstOp</t>
  </si>
  <si>
    <t>get_master_4_CLMStkGetIssueMstOp</t>
    <phoneticPr fontId="1"/>
  </si>
  <si>
    <t xml:space="preserve"> 5.指数銘柄マスタ問合取得</t>
  </si>
  <si>
    <t>get_master_5_CLMStkGetIssueMstIndex()</t>
  </si>
  <si>
    <t xml:space="preserve"> 6.為替銘柄マスタ問合取得</t>
  </si>
  <si>
    <t>get_master_6_CLMStkGetIssueMstFx()</t>
  </si>
  <si>
    <t xml:space="preserve"> 7.日付情報</t>
  </si>
  <si>
    <t>get_master_7_CLMStkGetDateZyouhou()</t>
  </si>
  <si>
    <t xml:space="preserve"> 8.呼値情報問合取得</t>
  </si>
  <si>
    <t>get_master_8_CLMStkGetYobine()</t>
  </si>
  <si>
    <t xml:space="preserve"> 9.代用掛目情報問合取得</t>
  </si>
  <si>
    <t>get_master_9_CLMStkGetDaiyouKakeme()</t>
  </si>
  <si>
    <t xml:space="preserve"> 10.株式銘柄別・市場別規制情報問合取得</t>
  </si>
  <si>
    <t>get_master_10_CLMStkGetIssueSizyouKiseiKabu()</t>
  </si>
  <si>
    <t xml:space="preserve"> 11.派生銘柄別・市場別規制情報問合取得</t>
  </si>
  <si>
    <t>get_master_11_CLMStkGetIssueSizyouKiseiHasei()</t>
  </si>
  <si>
    <t xml:space="preserve"> 12.保証金マスタ情報問合取得</t>
  </si>
  <si>
    <t>get_master_12_CLMStkGetHosyoukinMst()</t>
  </si>
  <si>
    <t xml:space="preserve"> 13.取引所エラー等理由コード情報問合取得</t>
  </si>
  <si>
    <t>get_master_13_CLMStkGetOrderErrReason()</t>
  </si>
  <si>
    <t>p_err</t>
    <phoneticPr fontId="1"/>
  </si>
  <si>
    <t>2026.10.05-12:26:49.150</t>
  </si>
  <si>
    <t>p_errno</t>
    <phoneticPr fontId="1"/>
  </si>
  <si>
    <t>sResultText</t>
    <phoneticPr fontId="1"/>
  </si>
  <si>
    <t>CLMStkGetIssueMstOp</t>
  </si>
  <si>
    <t>2026.10.05-12:27:25.428</t>
  </si>
  <si>
    <t>p_no</t>
    <phoneticPr fontId="1"/>
  </si>
  <si>
    <t>p_err</t>
    <phoneticPr fontId="1"/>
  </si>
  <si>
    <t>sResultCode</t>
    <phoneticPr fontId="1"/>
  </si>
  <si>
    <t>sResultText</t>
    <phoneticPr fontId="1"/>
  </si>
  <si>
    <t>2026.10.05-12:33:03.673</t>
  </si>
  <si>
    <t>p_err</t>
    <phoneticPr fontId="1"/>
  </si>
  <si>
    <t>2026.10.05-12:33:30.428</t>
  </si>
  <si>
    <t>p_no</t>
    <phoneticPr fontId="1"/>
  </si>
  <si>
    <t>CLMStkGetDaiyouKakeme</t>
  </si>
  <si>
    <t>2026.10.05-12:34:11.682</t>
  </si>
  <si>
    <t>sCLMID</t>
    <phoneticPr fontId="1"/>
  </si>
  <si>
    <t>sResultCode</t>
    <phoneticPr fontId="1"/>
  </si>
  <si>
    <t>2026.10.05-12:34:22.824</t>
  </si>
  <si>
    <t>p_errno</t>
    <phoneticPr fontId="1"/>
  </si>
  <si>
    <t>sResultText</t>
    <phoneticPr fontId="1"/>
  </si>
  <si>
    <t>2026.10.05-12:34:41.220</t>
  </si>
  <si>
    <t>sResultCode</t>
    <phoneticPr fontId="1"/>
  </si>
  <si>
    <t>sResultText</t>
    <phoneticPr fontId="1"/>
  </si>
  <si>
    <t>2026.10.05-12:34:54.196</t>
  </si>
  <si>
    <t>sResultCode</t>
    <phoneticPr fontId="1"/>
  </si>
  <si>
    <t>2026.10.05-12:35:14.714</t>
  </si>
  <si>
    <t>sCLMID</t>
    <phoneticPr fontId="1"/>
  </si>
  <si>
    <t>p_errno</t>
    <phoneticPr fontId="1"/>
  </si>
  <si>
    <t>sResultCode</t>
    <phoneticPr fontId="1"/>
  </si>
  <si>
    <t>sResultCode</t>
    <phoneticPr fontId="1"/>
  </si>
  <si>
    <t>2026.10.05-12:35:43.473</t>
  </si>
  <si>
    <t>p_no</t>
    <phoneticPr fontId="1"/>
  </si>
  <si>
    <t>2026.10.05-12:48:04.018</t>
  </si>
  <si>
    <t>sResultText</t>
    <phoneticPr fontId="1"/>
  </si>
  <si>
    <t>2026.10.05-12:49:51.816</t>
  </si>
  <si>
    <t>p_sd_date</t>
    <phoneticPr fontId="1"/>
  </si>
  <si>
    <t>p_err</t>
    <phoneticPr fontId="1"/>
  </si>
  <si>
    <t>sResultCode</t>
    <phoneticPr fontId="1"/>
  </si>
  <si>
    <t>sResultText</t>
    <phoneticPr fontId="1"/>
  </si>
  <si>
    <t>1.株式銘柄マスタ問合取得</t>
  </si>
  <si>
    <t>get_master_5_CLMStkGetIssueMstIndex</t>
  </si>
  <si>
    <t>get_master_6_CLMStkGetIssueMstFx</t>
  </si>
  <si>
    <t>7.日付情報問合取得</t>
  </si>
  <si>
    <t>get_master_7_CLMStkGetDateZyouhou</t>
  </si>
  <si>
    <t>8.呼値情報問合取得</t>
  </si>
  <si>
    <t>get_master_8_CLMStkGetYobine</t>
  </si>
  <si>
    <t>9.代用掛目情報問合取得</t>
  </si>
  <si>
    <t>get_master_9_CLMStkGetDaiyouKakeme</t>
  </si>
  <si>
    <t>10.株式銘柄別・市場別規制情報問合取得</t>
  </si>
  <si>
    <t>get_master_10_CLMStkGetIssueSizyouKiseiKabu</t>
  </si>
  <si>
    <t>11.派生銘柄別・市場別規制情報問合取得</t>
  </si>
  <si>
    <t>get_master_11_CLMStkGetIssueSizyouKiseiHasei</t>
  </si>
  <si>
    <t>12.保証金マスタ情報問合取得</t>
  </si>
  <si>
    <t>get_master_12_CLMStkGetHosyoukinMst</t>
  </si>
  <si>
    <t>13.取引所エラー等理由コード情報問合取得</t>
  </si>
  <si>
    <t>get_master_13_CLMStkGetOrderErrReason</t>
  </si>
  <si>
    <t>e_api_Excel_pubkey.xlsm</t>
    <phoneticPr fontId="1"/>
  </si>
  <si>
    <t>JsonConverter (Specs.bas)を利用しています。</t>
    <rPh sb="26" eb="28">
      <t>リヨウ</t>
    </rPh>
    <phoneticPr fontId="1"/>
  </si>
  <si>
    <t>https://kabuka.e-shiten.jp/e_api_v4r10/</t>
    <phoneticPr fontId="1"/>
  </si>
  <si>
    <t>https://demo-kabuka.e-shiten.jp/e_api_v4r10/</t>
    <phoneticPr fontId="1"/>
  </si>
  <si>
    <t>JsonConverter (Specs.bas)は、そのライセンスに従って利用してください。</t>
    <rPh sb="35" eb="36">
      <t>シタガ</t>
    </rPh>
    <rPh sb="38" eb="40">
      <t>リヨウ</t>
    </rPh>
    <phoneticPr fontId="1"/>
  </si>
  <si>
    <t>６．事前準備</t>
    <rPh sb="2" eb="6">
      <t>ジゼンジュンビ</t>
    </rPh>
    <phoneticPr fontId="1"/>
  </si>
  <si>
    <t>７．利用方法</t>
    <rPh sb="2" eb="6">
      <t>リヨウホウホウ</t>
    </rPh>
    <phoneticPr fontId="1"/>
  </si>
  <si>
    <t>８．ライセンス</t>
    <phoneticPr fontId="1"/>
  </si>
  <si>
    <t>９．責任</t>
    <rPh sb="2" eb="4">
      <t>セキニン</t>
    </rPh>
    <phoneticPr fontId="1"/>
  </si>
  <si>
    <t>このExcelファイルのあるフォルダに「key_hon」や「key_demo」のようにフォルダを作成します。</t>
    <rPh sb="48" eb="50">
      <t>サクセイ</t>
    </rPh>
    <phoneticPr fontId="1"/>
  </si>
  <si>
    <t>AuthIDファイル</t>
    <phoneticPr fontId="1"/>
  </si>
  <si>
    <t>秘密鍵ファイル（拡張子.der）</t>
    <rPh sb="0" eb="3">
      <t>ヒミツカギ</t>
    </rPh>
    <rPh sb="8" eb="11">
      <t>カクチョウシ</t>
    </rPh>
    <phoneticPr fontId="1"/>
  </si>
  <si>
    <t>第二暗証番号ファイル</t>
    <rPh sb="0" eb="6">
      <t>ダイニアンショウバンゴウ</t>
    </rPh>
    <phoneticPr fontId="1"/>
  </si>
  <si>
    <t>e_api_authid.txt</t>
  </si>
  <si>
    <t>e_api_private_key.der</t>
    <phoneticPr fontId="1"/>
  </si>
  <si>
    <t>file_pwd2.txt</t>
    <phoneticPr fontId="1"/>
  </si>
  <si>
    <t>key_demo</t>
    <phoneticPr fontId="1"/>
  </si>
  <si>
    <t>CreateSecureConfig</t>
  </si>
  <si>
    <t>認証ファイルの暗号化</t>
    <rPh sb="0" eb="2">
      <t>ニンショウ</t>
    </rPh>
    <rPh sb="7" eb="10">
      <t>アンゴウカ</t>
    </rPh>
    <phoneticPr fontId="1"/>
  </si>
  <si>
    <t>拡張子.derファイルの方のみ。</t>
    <rPh sb="0" eb="3">
      <t>カクチョウシ</t>
    </rPh>
    <rPh sb="12" eb="13">
      <t>ホウ</t>
    </rPh>
    <phoneticPr fontId="1"/>
  </si>
  <si>
    <t>フォルダ</t>
    <phoneticPr fontId="1"/>
  </si>
  <si>
    <t>安全な設定をしたフォルダ。エクセルファイルのディレクトリの直下（から記述）</t>
    <rPh sb="3" eb="5">
      <t>セッテイ</t>
    </rPh>
    <rPh sb="29" eb="31">
      <t>チョクカ</t>
    </rPh>
    <rPh sb="34" eb="36">
      <t>キジュツ</t>
    </rPh>
    <phoneticPr fontId="1"/>
  </si>
  <si>
    <t>CLMAuthLoginAck</t>
  </si>
  <si>
    <t>2026.10.07-10:06:23.936</t>
  </si>
  <si>
    <t>2026.10.07-10:06:44.296</t>
  </si>
  <si>
    <t>p_no</t>
    <phoneticPr fontId="1"/>
  </si>
  <si>
    <t>p_err</t>
    <phoneticPr fontId="1"/>
  </si>
  <si>
    <t>sResultCode</t>
    <phoneticPr fontId="1"/>
  </si>
  <si>
    <t>2026.10.07-10:31:10.296</t>
  </si>
  <si>
    <t>p_no</t>
    <phoneticPr fontId="1"/>
  </si>
  <si>
    <t>sCLMID</t>
    <phoneticPr fontId="1"/>
  </si>
  <si>
    <t>2026.10.07-10:32:51.221</t>
  </si>
  <si>
    <t>p_no</t>
    <phoneticPr fontId="1"/>
  </si>
  <si>
    <t>p_sd_date</t>
    <phoneticPr fontId="1"/>
  </si>
  <si>
    <t>sCLMID</t>
    <phoneticPr fontId="1"/>
  </si>
  <si>
    <t>p_err</t>
    <phoneticPr fontId="1"/>
  </si>
  <si>
    <t xml:space="preserve">sOrderNumber </t>
    <phoneticPr fontId="1"/>
  </si>
  <si>
    <t>注文番号（必須）</t>
    <rPh sb="0" eb="2">
      <t>チュウモン</t>
    </rPh>
    <rPh sb="2" eb="4">
      <t>バンゴウ</t>
    </rPh>
    <phoneticPr fontId="1"/>
  </si>
  <si>
    <t>営業日（必須）</t>
    <rPh sb="0" eb="3">
      <t>エイギョウビ</t>
    </rPh>
    <phoneticPr fontId="1"/>
  </si>
  <si>
    <t>sEigyouDay</t>
    <phoneticPr fontId="1"/>
  </si>
  <si>
    <t>2026.10.07-11:04:16.502</t>
  </si>
  <si>
    <t>p_no</t>
    <phoneticPr fontId="1"/>
  </si>
  <si>
    <t>sCLMID</t>
    <phoneticPr fontId="1"/>
  </si>
  <si>
    <t>p_err</t>
    <phoneticPr fontId="1"/>
  </si>
  <si>
    <t>sResultText</t>
    <phoneticPr fontId="1"/>
  </si>
  <si>
    <t>2026.10.07-11:04:38.305</t>
  </si>
  <si>
    <t>p_sd_date</t>
    <phoneticPr fontId="1"/>
  </si>
  <si>
    <t>「ExcelでAPIを利用するための事前準備.pdf」の手順で設定してください。</t>
    <rPh sb="28" eb="30">
      <t>テジュン</t>
    </rPh>
    <rPh sb="31" eb="33">
      <t>セッテイ</t>
    </rPh>
    <phoneticPr fontId="1"/>
  </si>
  <si>
    <t>認証ID、秘密鍵を取得してください。</t>
    <rPh sb="0" eb="2">
      <t>ニンショウ</t>
    </rPh>
    <rPh sb="5" eb="8">
      <t>ヒミツカギ</t>
    </rPh>
    <rPh sb="9" eb="11">
      <t>シュトク</t>
    </rPh>
    <phoneticPr fontId="1"/>
  </si>
  <si>
    <t>「認証ID・秘密鍵等の取得方法.pdf」の手順で設定してください。</t>
    <rPh sb="21" eb="23">
      <t>テジュン</t>
    </rPh>
    <rPh sb="24" eb="26">
      <t>セッテイ</t>
    </rPh>
    <phoneticPr fontId="1"/>
  </si>
  <si>
    <t>シート「暗号化」「ログイン」の色付きセルに接続先URL等必要な情報をテキストで記入する。</t>
    <rPh sb="4" eb="7">
      <t>アンゴウカ</t>
    </rPh>
    <rPh sb="15" eb="17">
      <t>イロツ</t>
    </rPh>
    <rPh sb="21" eb="24">
      <t>セツゾクサキ</t>
    </rPh>
    <rPh sb="27" eb="28">
      <t>トウ</t>
    </rPh>
    <rPh sb="28" eb="30">
      <t>ヒツヨウ</t>
    </rPh>
    <rPh sb="31" eb="33">
      <t>ジョウホウ</t>
    </rPh>
    <rPh sb="39" eb="41">
      <t>キニュウ</t>
    </rPh>
    <phoneticPr fontId="1"/>
  </si>
  <si>
    <t>このExcelでのAPIの利用は、認証情報を含むファイルが第三者に渡った場合に、</t>
    <rPh sb="13" eb="15">
      <t>リヨウ</t>
    </rPh>
    <phoneticPr fontId="1"/>
  </si>
  <si>
    <t>認証情報を容易に復元できないよう考慮してあります。しかし万全ではありません。</t>
    <rPh sb="16" eb="18">
      <t>コウリョ</t>
    </rPh>
    <rPh sb="28" eb="30">
      <t>バンゼン</t>
    </rPh>
    <phoneticPr fontId="1"/>
  </si>
  <si>
    <t>PC自体が不正アクセスを受けた場合等も含め、利用者ご自身で適切なセキュリティ対策を行ってください。</t>
    <phoneticPr fontId="1"/>
  </si>
  <si>
    <t xml:space="preserve">4.注文番号 </t>
    <phoneticPr fontId="1"/>
  </si>
  <si>
    <t xml:space="preserve">sOrderNumber </t>
  </si>
  <si>
    <t>5.営業日</t>
    <phoneticPr fontId="1"/>
  </si>
  <si>
    <t xml:space="preserve">sEigyouDay </t>
  </si>
  <si>
    <t>2026.10.08-12:38:54.169</t>
  </si>
  <si>
    <t xml:space="preserve">{
	"p_sd_date":"2026.10.08-12:38:54.169",
	"p_no":"1",
	"p_rv_date":"2026.10.08-12:38:53.721",
	"p_errno":"0",
	"p_err":"",
	"sCLMID":"CLMAuthLoginAck",
	"sResultCode":"0",
	"sResultText":"",
	"sZyoutoekiKazeiC":"1",
	"sSecondPasswordOmit":"0",
	"sLastLoginDate":"20261008121516",
	"sSogoKouzaKubun":"1",
	"sHogoAdukariKouzaKubun":"1",
	"sFurikaeKouzaKubun":"1",
	"sGaikokuKouzaKubun":"1",
	"sMRFKouzaKubun":"0",
	"sTokuteiKouzaKubunGenbutu":"1",
	"sTokuteiKouzaKubunSinyou":"1",
	"sTokuteiKouzaKubunTousin":"0",
	"sTokuteiHaitouKouzaKubun":"1",
	"sTokuteiKanriKouzaKubun":"0",
	"sSinyouKouzaKubun":"1",
	"sSakopKouzaKubun":"0",
	"sMMFKouzaKubun":"0",
	"sTyukokufKouzaKubun":"0",
	"sKawaseKouzaKubun":"0",
	"sHikazeiKouzaKubun":"1",
	"sKinsyouhouMidokuFlg":"0",
	"sUrlRequest":"QqiPhl2WBXE+0wvYbdKY6lt6CK9Lnl0vy+mUzrvIdhDT6IgYRG++T7wB0yVEnob1e3jFERw+TgeeOyqG6Tk46jew3yi3xTyJ1kvKf/pwgkHawXmcvH5lyHoXbB+vTKqWTo+js6Qphd0aX9Ia+PzwYsevS4hl6G/5dvysNiB9Gu8vZHK+/Q9wG2XVIMz73N3wus3zKk++Lv7gyKJnYmJOG+F/uOIojA8QcP5GnfBGWqAuyaljUsvkNZQjB0csAaxwcY6WvDYe5yv+Z9A49Wu7k3S/+QOvgA3r5Yzw/P0u3TLkt6x4jboPNuCUVOtPo76lc4uK2m/ygM9MWz5C6SZnOw==",
	"sUrlMaster":"N/U6nQO0FLyy1hOYBCUKqjwSOnw5BM9SUCD+yn0yv/4MCVNTcE/LyidsyOVJ2PkOUDKtEoY3KDY2LKnesn1fcvz/ZzsrcrhpFyhpxrJ/95LDhplh2bOWpUXWcbkMJueeIaQ9R0RnCJ2TQvGxwzFWZef58M1OdumLPK3ucEBgDm6gTZgS3ZHqy5xRpMS/T5a0XpJWyGfbg4q3OqinHOVpLgDUUvsMTeCnguDpXW7glPlwBtNqBXHx3XB7bHqdW6/PZvfMdNk5qzaxvWUQy7t15YrW4hfQ4G2aadxF/fatAAoS1cFcvrqCXW1Sf338op4nVkgf3qivdEAn9xYO/J/RJg==",
	"sUrlPrice":"VxxHIBidaE6NapjNUwdc1EpjkjSaqD/XKuHtVICgzARiCXDu9PlE4AXbr67tseEhoZ9C0qfqB2shfEOPpn6vyDGAiA+WBITQ5ZADGNnocMxkeZ/6V88yNvSzkw1cgNwt4tZK9eM/j1WyUb4gpX0hshS6xzC6NHSiUAiNL54VsOR7jmbNb+2tQIFenPyau8VC3CZK+v59dYvOFXl0eDkuYjLRM69RM0EQklcRdL8l6jqnuLP5+0j1ryeI7MKr9wbAUypnV8hFu7BG0Bh0kFeqFBNcXxqgYotoZBIvd7VEvoPd2spe8sRVCvVfZS1CAey6jdaOeik44yy6bszT1ZjzzQ==",
	"sUrlEvent":"Vdf4bIIxVj+rJ3YIBCxU8NFWCrpAeMH6lXFA/U0aLWmssyjZX/KWtKNHQ260vvnLT6NWfZzVKrcL7PXqpPOCDDiYIfBtMVsKDPjXQ/9Ozpg4S50i8Gbgg2vZ1xaymJ1VJAheyz8tRifALuCyPvUSv3RyPOC87n/UWA4xic7kQdudVYvnIuRtZboP4D7QnCdGxiI/qs77unZFTKF3YP7zGZt65P+NCEBxgnmuKoHEuNpRQ8ZiIudk+0dBlUaBBx4XVyfmesphPcT1RKVXOMy5ZM2RTq3pd3cAlIZ8mr2nGUGvf1FGI6cWNBIIOoQzVDNDxSW01CkHYTUqLDHyRyClFw==",
	"sUrlEventWebSocket":"ot3VycYMClxZmS8ZAmksiUgRNujviRj9FfkNL+Qut1c4Pgf7kIs53wx1oeq6y397dkohINT31EYL97iVEaCArTRgvQYTmfNpOqTuh3Bymk58al9iw2Dv2IY+zwsV5fel+NEXB7uAsbYZfu08rHIVQq9RXR6WYQVi1MwJsu/oIFc/zSO8RBlC5wPKfNTAlZr1+77bPfGbzV4SiEjlX7nvlm5qW8RqZ0ufuQFzxLwp2odjeXkq3Pz8/+e/dA9eyz6emsYi1PWWp4Ulbrph9KCRziKduU3MB5YS+Ft0CoHHueUU/Ja43/7sOuXZlCaUYjWTYk+C0Ccft4Vz4wN5q3Zq9Q==",
	"sUpdateInformWebDocument":"20241103",
	"sUpdateInformAPISpecFunction":"20241103"
}
</t>
    <phoneticPr fontId="1"/>
  </si>
  <si>
    <t>p_no</t>
    <phoneticPr fontId="1"/>
  </si>
  <si>
    <t>sCLMID</t>
    <phoneticPr fontId="1"/>
  </si>
  <si>
    <t>p_err</t>
    <phoneticPr fontId="1"/>
  </si>
  <si>
    <t>sResultCode</t>
    <phoneticPr fontId="1"/>
  </si>
  <si>
    <t>2026.10.08-12:39:02.506</t>
  </si>
  <si>
    <t>p_no</t>
    <phoneticPr fontId="1"/>
  </si>
  <si>
    <t>p_sd_date</t>
    <phoneticPr fontId="1"/>
  </si>
  <si>
    <t>p_err</t>
    <phoneticPr fontId="1"/>
  </si>
  <si>
    <t>sResultCode</t>
    <phoneticPr fontId="1"/>
  </si>
  <si>
    <t>2026.10.08-12:41:33.781</t>
  </si>
  <si>
    <t>p_no</t>
    <phoneticPr fontId="1"/>
  </si>
  <si>
    <t>2026.10.08-12:45:23.892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</si>
</sst>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9"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strike/>
      <sz val="10"/>
      <color theme="1"/>
      <name val="游ゴシック"/>
      <family val="3"/>
      <charset val="128"/>
      <scheme val="minor"/>
    </font>
    <font>
      <sz val="11"/>
      <color theme="1"/>
      <name val="IPA明朝"/>
      <family val="1"/>
      <charset val="128"/>
    </font>
    <font>
      <sz val="10"/>
      <color rgb="FFFF0000"/>
      <name val="游ゴシック"/>
      <family val="3"/>
      <charset val="128"/>
      <scheme val="minor"/>
    </font>
    <font>
      <sz val="11"/>
      <color theme="1"/>
      <name val="ＭＳ Ｐ明朝"/>
      <family val="1"/>
      <charset val="128"/>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9">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5"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6"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applyAlignment="1">
      <alignment vertical="center"/>
    </xf>
    <xf numFmtId="0" fontId="17" fillId="0" borderId="0" xfId="0" applyFont="1">
      <alignment vertical="center"/>
    </xf>
    <xf numFmtId="0" fontId="18" fillId="0" borderId="0" xfId="0"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認証ファイルの暗号化</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1.株式銘柄マスタ</a:t>
              </a:r>
            </a:p>
            <a:p>
              <a:pPr algn="ctr" rtl="0">
                <a:defRPr sz="1000"/>
              </a:pPr>
              <a:r>
                <a:rPr lang="ja-JP" altLang="en-US" sz="1100" b="0" i="0" u="none" strike="noStrike" baseline="0">
                  <a:solidFill>
                    <a:srgbClr val="000000"/>
                  </a:solidFill>
                  <a:latin typeface="游ゴシック"/>
                  <a:ea typeface="游ゴシック"/>
                </a:rPr>
                <a:t>CLMStkGetIssueMstKabu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95250</xdr:rowOff>
        </xdr:from>
        <xdr:to>
          <xdr:col>6</xdr:col>
          <xdr:colOff>9525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2.株式銘柄市場マスタ</a:t>
              </a:r>
            </a:p>
            <a:p>
              <a:pPr algn="ctr" rtl="0">
                <a:defRPr sz="1000"/>
              </a:pPr>
              <a:r>
                <a:rPr lang="ja-JP" altLang="en-US" sz="1100" b="0" i="0" u="none" strike="noStrike" baseline="0">
                  <a:solidFill>
                    <a:srgbClr val="000000"/>
                  </a:solidFill>
                  <a:latin typeface="游ゴシック"/>
                  <a:ea typeface="游ゴシック"/>
                </a:rPr>
                <a:t>CLMStkGetIssueSizyouMstKabu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3.先物銘柄マスタ</a:t>
              </a:r>
            </a:p>
            <a:p>
              <a:pPr algn="ctr" rtl="0">
                <a:defRPr sz="1000"/>
              </a:pPr>
              <a:r>
                <a:rPr lang="ja-JP" altLang="en-US" sz="1100" b="0" i="0" u="none" strike="noStrike" baseline="0">
                  <a:solidFill>
                    <a:srgbClr val="000000"/>
                  </a:solidFill>
                  <a:latin typeface="游ゴシック"/>
                  <a:ea typeface="游ゴシック"/>
                </a:rPr>
                <a:t>CLMStkGetIssueMstSak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4.オプション銘柄マスタ</a:t>
              </a:r>
            </a:p>
            <a:p>
              <a:pPr algn="ctr" rtl="0">
                <a:defRPr sz="1000"/>
              </a:pPr>
              <a:r>
                <a:rPr lang="ja-JP" altLang="en-US" sz="1100" b="0" i="0" u="none" strike="noStrike" baseline="0">
                  <a:solidFill>
                    <a:srgbClr val="000000"/>
                  </a:solidFill>
                  <a:latin typeface="游ゴシック"/>
                  <a:ea typeface="游ゴシック"/>
                </a:rPr>
                <a:t>CLMStkGetIssueMstOp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76200</xdr:rowOff>
        </xdr:from>
        <xdr:to>
          <xdr:col>21</xdr:col>
          <xdr:colOff>1847850</xdr:colOff>
          <xdr:row>2</xdr:row>
          <xdr:rowOff>714375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6.為替銘柄マスタ</a:t>
              </a:r>
            </a:p>
            <a:p>
              <a:pPr algn="ctr" rtl="0">
                <a:defRPr sz="1000"/>
              </a:pPr>
              <a:r>
                <a:rPr lang="ja-JP" altLang="en-US" sz="1100" b="0" i="0" u="none" strike="noStrike" baseline="0">
                  <a:solidFill>
                    <a:srgbClr val="000000"/>
                  </a:solidFill>
                  <a:latin typeface="游ゴシック"/>
                  <a:ea typeface="游ゴシック"/>
                </a:rPr>
                <a:t>CLMStkGetIssueMstFx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7.日付情報</a:t>
              </a:r>
            </a:p>
            <a:p>
              <a:pPr algn="ctr" rtl="0">
                <a:defRPr sz="1000"/>
              </a:pPr>
              <a:r>
                <a:rPr lang="ja-JP" altLang="en-US" sz="1100" b="0" i="0" u="none" strike="noStrike" baseline="0">
                  <a:solidFill>
                    <a:srgbClr val="000000"/>
                  </a:solidFill>
                  <a:latin typeface="游ゴシック"/>
                  <a:ea typeface="游ゴシック"/>
                </a:rPr>
                <a:t>CLMStkGetDateZyouhou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47625</xdr:colOff>
          <xdr:row>2</xdr:row>
          <xdr:rowOff>95250</xdr:rowOff>
        </xdr:from>
        <xdr:to>
          <xdr:col>29</xdr:col>
          <xdr:colOff>2028825</xdr:colOff>
          <xdr:row>2</xdr:row>
          <xdr:rowOff>733425</xdr:rowOff>
        </xdr:to>
        <xdr:sp macro="" textlink="">
          <xdr:nvSpPr>
            <xdr:cNvPr id="15377" name="Button 17" hidden="1">
              <a:extLst>
                <a:ext uri="{63B3BB69-23CF-44E3-9099-C40C66FF867C}">
                  <a14:compatExt spid="_x0000_s153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8.呼値情報</a:t>
              </a:r>
            </a:p>
            <a:p>
              <a:pPr algn="ctr" rtl="0">
                <a:defRPr sz="1000"/>
              </a:pPr>
              <a:r>
                <a:rPr lang="ja-JP" altLang="en-US" sz="1100" b="0" i="0" u="none" strike="noStrike" baseline="0">
                  <a:solidFill>
                    <a:srgbClr val="000000"/>
                  </a:solidFill>
                  <a:latin typeface="游ゴシック"/>
                  <a:ea typeface="游ゴシック"/>
                </a:rPr>
                <a:t>CLMStkGetYobine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47625</xdr:colOff>
          <xdr:row>2</xdr:row>
          <xdr:rowOff>95250</xdr:rowOff>
        </xdr:from>
        <xdr:to>
          <xdr:col>33</xdr:col>
          <xdr:colOff>2028825</xdr:colOff>
          <xdr:row>2</xdr:row>
          <xdr:rowOff>733425</xdr:rowOff>
        </xdr:to>
        <xdr:sp macro="" textlink="">
          <xdr:nvSpPr>
            <xdr:cNvPr id="15379" name="Button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9.代用掛目情報</a:t>
              </a:r>
            </a:p>
            <a:p>
              <a:pPr algn="ctr" rtl="0">
                <a:defRPr sz="1000"/>
              </a:pPr>
              <a:r>
                <a:rPr lang="ja-JP" altLang="en-US" sz="1100" b="0" i="0" u="none" strike="noStrike" baseline="0">
                  <a:solidFill>
                    <a:srgbClr val="000000"/>
                  </a:solidFill>
                  <a:latin typeface="游ゴシック"/>
                  <a:ea typeface="游ゴシック"/>
                </a:rPr>
                <a:t>CLMStkGetDaiyouKakeme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47625</xdr:colOff>
          <xdr:row>2</xdr:row>
          <xdr:rowOff>95250</xdr:rowOff>
        </xdr:from>
        <xdr:to>
          <xdr:col>37</xdr:col>
          <xdr:colOff>2209800</xdr:colOff>
          <xdr:row>2</xdr:row>
          <xdr:rowOff>733425</xdr:rowOff>
        </xdr:to>
        <xdr:sp macro="" textlink="">
          <xdr:nvSpPr>
            <xdr:cNvPr id="15381" name="Button 21" hidden="1">
              <a:extLst>
                <a:ext uri="{63B3BB69-23CF-44E3-9099-C40C66FF867C}">
                  <a14:compatExt spid="_x0000_s153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10.株式銘柄別・市場別規制情報</a:t>
              </a:r>
            </a:p>
            <a:p>
              <a:pPr algn="ctr" rtl="0">
                <a:defRPr sz="1000"/>
              </a:pPr>
              <a:r>
                <a:rPr lang="ja-JP" altLang="en-US" sz="1100" b="0" i="0" u="none" strike="noStrike" baseline="0">
                  <a:solidFill>
                    <a:srgbClr val="000000"/>
                  </a:solidFill>
                  <a:latin typeface="游ゴシック"/>
                  <a:ea typeface="游ゴシック"/>
                </a:rPr>
                <a:t>CLMStkGetIssueSizyouKiseiKabu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47625</xdr:colOff>
          <xdr:row>2</xdr:row>
          <xdr:rowOff>95250</xdr:rowOff>
        </xdr:from>
        <xdr:to>
          <xdr:col>41</xdr:col>
          <xdr:colOff>2390775</xdr:colOff>
          <xdr:row>2</xdr:row>
          <xdr:rowOff>733425</xdr:rowOff>
        </xdr:to>
        <xdr:sp macro="" textlink="">
          <xdr:nvSpPr>
            <xdr:cNvPr id="15383" name="Button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11.派生銘柄別・市場別規制情報</a:t>
              </a:r>
            </a:p>
            <a:p>
              <a:pPr algn="ctr" rtl="0">
                <a:defRPr sz="1000"/>
              </a:pPr>
              <a:r>
                <a:rPr lang="ja-JP" altLang="en-US" sz="1100" b="0" i="0" u="none" strike="noStrike" baseline="0">
                  <a:solidFill>
                    <a:srgbClr val="000000"/>
                  </a:solidFill>
                  <a:latin typeface="游ゴシック"/>
                  <a:ea typeface="游ゴシック"/>
                </a:rPr>
                <a:t>CLMStkGetIssueSizyouKiseiHasei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xdr:row>
          <xdr:rowOff>95250</xdr:rowOff>
        </xdr:from>
        <xdr:to>
          <xdr:col>45</xdr:col>
          <xdr:colOff>2028825</xdr:colOff>
          <xdr:row>2</xdr:row>
          <xdr:rowOff>733425</xdr:rowOff>
        </xdr:to>
        <xdr:sp macro="" textlink="">
          <xdr:nvSpPr>
            <xdr:cNvPr id="15385" name="Button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12.保証金マスタ情報</a:t>
              </a:r>
            </a:p>
            <a:p>
              <a:pPr algn="ctr" rtl="0">
                <a:defRPr sz="1000"/>
              </a:pPr>
              <a:r>
                <a:rPr lang="ja-JP" altLang="en-US" sz="1100" b="0" i="0" u="none" strike="noStrike" baseline="0">
                  <a:solidFill>
                    <a:srgbClr val="000000"/>
                  </a:solidFill>
                  <a:latin typeface="游ゴシック"/>
                  <a:ea typeface="游ゴシック"/>
                </a:rPr>
                <a:t>CLMStkGetHosyoukinMst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47625</xdr:colOff>
          <xdr:row>2</xdr:row>
          <xdr:rowOff>95250</xdr:rowOff>
        </xdr:from>
        <xdr:to>
          <xdr:col>49</xdr:col>
          <xdr:colOff>2390775</xdr:colOff>
          <xdr:row>2</xdr:row>
          <xdr:rowOff>733425</xdr:rowOff>
        </xdr:to>
        <xdr:sp macro="" textlink="">
          <xdr:nvSpPr>
            <xdr:cNvPr id="15387" name="Button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13.取引所エラー等理由コード情報</a:t>
              </a:r>
            </a:p>
            <a:p>
              <a:pPr algn="ctr" rtl="0">
                <a:defRPr sz="1000"/>
              </a:pPr>
              <a:r>
                <a:rPr lang="ja-JP" altLang="en-US" sz="1100" b="0" i="0" u="none" strike="noStrike" baseline="0">
                  <a:solidFill>
                    <a:srgbClr val="000000"/>
                  </a:solidFill>
                  <a:latin typeface="游ゴシック"/>
                  <a:ea typeface="游ゴシック"/>
                </a:rPr>
                <a:t>CLMStkGetOrderErrReason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91" name="Button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  5.指数銘柄マスタ</a:t>
              </a:r>
            </a:p>
            <a:p>
              <a:pPr algn="ctr" rtl="0">
                <a:defRPr sz="1000"/>
              </a:pPr>
              <a:r>
                <a:rPr lang="ja-JP" altLang="en-US" sz="1100" b="0" i="0" u="none" strike="noStrike" baseline="0">
                  <a:solidFill>
                    <a:srgbClr val="000000"/>
                  </a:solidFill>
                  <a:latin typeface="游ゴシック"/>
                  <a:ea typeface="游ゴシック"/>
                </a:rPr>
                <a:t>CLMStkGetIssueMstIndex</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ctrlProp" Target="../ctrlProps/ctrlProp23.x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35"/>
  <sheetViews>
    <sheetView tabSelected="1" zoomScaleNormal="100" workbookViewId="0"/>
  </sheetViews>
  <sheetFormatPr defaultRowHeight="16.5" x14ac:dyDescent="0.4"/>
  <cols>
    <col min="1" max="1" width="4.625" style="1" customWidth="1"/>
    <col min="2" max="2" width="35.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39</v>
      </c>
      <c r="J1" s="1" t="s">
        <v>0</v>
      </c>
      <c r="K1" s="2" t="s">
        <v>42</v>
      </c>
      <c r="L1" s="1" t="s">
        <v>1</v>
      </c>
    </row>
    <row r="2" spans="1:12" x14ac:dyDescent="0.4">
      <c r="J2" s="1" t="s">
        <v>2</v>
      </c>
      <c r="K2" s="2" t="s">
        <v>413</v>
      </c>
      <c r="L2" s="1" t="s">
        <v>1</v>
      </c>
    </row>
    <row r="3" spans="1:12" x14ac:dyDescent="0.4">
      <c r="A3" s="1" t="s">
        <v>3</v>
      </c>
      <c r="K3" s="2"/>
    </row>
    <row r="4" spans="1:12" x14ac:dyDescent="0.4">
      <c r="B4" s="1" t="s">
        <v>4</v>
      </c>
      <c r="K4" s="2"/>
    </row>
    <row r="5" spans="1:12" x14ac:dyDescent="0.4">
      <c r="B5" s="1" t="s">
        <v>40</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555</v>
      </c>
      <c r="C14" s="1" t="s">
        <v>9</v>
      </c>
      <c r="D14" s="1" t="s">
        <v>10</v>
      </c>
      <c r="K14" s="2"/>
    </row>
    <row r="15" spans="1:12" x14ac:dyDescent="0.4">
      <c r="B15" s="1" t="s">
        <v>556</v>
      </c>
      <c r="C15" s="1" t="s">
        <v>11</v>
      </c>
      <c r="D15" s="1" t="s">
        <v>12</v>
      </c>
      <c r="K15" s="2"/>
    </row>
    <row r="16" spans="1:12" x14ac:dyDescent="0.4">
      <c r="K16" s="2"/>
    </row>
    <row r="17" spans="1:11" x14ac:dyDescent="0.4">
      <c r="A17" s="1">
        <v>2</v>
      </c>
      <c r="B17" s="1" t="s">
        <v>151</v>
      </c>
      <c r="K17" s="2"/>
    </row>
    <row r="18" spans="1:11" x14ac:dyDescent="0.4">
      <c r="C18" s="21" t="s">
        <v>153</v>
      </c>
      <c r="D18" s="1" t="s">
        <v>152</v>
      </c>
      <c r="E18" s="1" t="s">
        <v>155</v>
      </c>
      <c r="K18" s="2"/>
    </row>
    <row r="19" spans="1:11" x14ac:dyDescent="0.4">
      <c r="B19" s="1">
        <v>1</v>
      </c>
      <c r="C19" s="44" t="s">
        <v>360</v>
      </c>
      <c r="D19" s="1" t="s">
        <v>132</v>
      </c>
      <c r="E19" s="1" t="s">
        <v>156</v>
      </c>
      <c r="K19" s="2"/>
    </row>
    <row r="20" spans="1:11" x14ac:dyDescent="0.4">
      <c r="B20" s="1">
        <f>B19+1</f>
        <v>2</v>
      </c>
      <c r="C20" s="44" t="s">
        <v>360</v>
      </c>
      <c r="D20" s="1" t="s">
        <v>133</v>
      </c>
      <c r="E20" s="1" t="s">
        <v>157</v>
      </c>
      <c r="K20" s="2"/>
    </row>
    <row r="21" spans="1:11" x14ac:dyDescent="0.4">
      <c r="B21" s="1">
        <f t="shared" ref="B21:B52" si="0">B20+1</f>
        <v>3</v>
      </c>
      <c r="C21" s="45" t="s">
        <v>164</v>
      </c>
      <c r="D21" s="1" t="s">
        <v>137</v>
      </c>
      <c r="E21" s="1" t="s">
        <v>162</v>
      </c>
      <c r="K21" s="2"/>
    </row>
    <row r="22" spans="1:11" x14ac:dyDescent="0.4">
      <c r="B22" s="1">
        <f t="shared" si="0"/>
        <v>4</v>
      </c>
      <c r="C22" s="45" t="s">
        <v>164</v>
      </c>
      <c r="D22" s="1" t="s">
        <v>73</v>
      </c>
      <c r="E22" s="1" t="s">
        <v>163</v>
      </c>
      <c r="K22" s="2"/>
    </row>
    <row r="23" spans="1:11" x14ac:dyDescent="0.4">
      <c r="B23" s="1">
        <f t="shared" si="0"/>
        <v>5</v>
      </c>
      <c r="C23" s="45" t="s">
        <v>164</v>
      </c>
      <c r="D23" s="1" t="s">
        <v>138</v>
      </c>
      <c r="E23" s="1" t="s">
        <v>139</v>
      </c>
      <c r="K23" s="2"/>
    </row>
    <row r="24" spans="1:11" x14ac:dyDescent="0.4">
      <c r="B24" s="1">
        <f t="shared" si="0"/>
        <v>6</v>
      </c>
      <c r="C24" s="45" t="s">
        <v>164</v>
      </c>
      <c r="D24" s="1" t="s">
        <v>140</v>
      </c>
      <c r="E24" s="1" t="s">
        <v>141</v>
      </c>
      <c r="K24" s="2"/>
    </row>
    <row r="25" spans="1:11" x14ac:dyDescent="0.4">
      <c r="B25" s="1">
        <f t="shared" si="0"/>
        <v>7</v>
      </c>
      <c r="C25" s="45" t="s">
        <v>154</v>
      </c>
      <c r="D25" s="1" t="s">
        <v>135</v>
      </c>
      <c r="E25" s="1" t="s">
        <v>160</v>
      </c>
      <c r="K25" s="2"/>
    </row>
    <row r="26" spans="1:11" x14ac:dyDescent="0.4">
      <c r="B26" s="1">
        <f t="shared" si="0"/>
        <v>8</v>
      </c>
      <c r="C26" s="45" t="s">
        <v>154</v>
      </c>
      <c r="D26" s="1" t="s">
        <v>93</v>
      </c>
      <c r="E26" s="1" t="s">
        <v>94</v>
      </c>
      <c r="K26" s="2"/>
    </row>
    <row r="27" spans="1:11" x14ac:dyDescent="0.4">
      <c r="B27" s="1">
        <f t="shared" si="0"/>
        <v>9</v>
      </c>
      <c r="C27" s="45" t="s">
        <v>154</v>
      </c>
      <c r="D27" s="1" t="s">
        <v>134</v>
      </c>
      <c r="E27" s="1" t="s">
        <v>95</v>
      </c>
      <c r="K27" s="2"/>
    </row>
    <row r="28" spans="1:11" x14ac:dyDescent="0.4">
      <c r="B28" s="1">
        <f t="shared" si="0"/>
        <v>10</v>
      </c>
      <c r="C28" s="45" t="s">
        <v>154</v>
      </c>
      <c r="D28" s="1" t="s">
        <v>96</v>
      </c>
      <c r="E28" s="1" t="s">
        <v>158</v>
      </c>
      <c r="K28" s="2"/>
    </row>
    <row r="29" spans="1:11" x14ac:dyDescent="0.4">
      <c r="B29" s="1">
        <f t="shared" si="0"/>
        <v>11</v>
      </c>
      <c r="C29" s="45" t="s">
        <v>154</v>
      </c>
      <c r="D29" s="1" t="s">
        <v>136</v>
      </c>
      <c r="E29" s="1" t="s">
        <v>161</v>
      </c>
      <c r="K29" s="2"/>
    </row>
    <row r="30" spans="1:11" x14ac:dyDescent="0.4">
      <c r="B30" s="1">
        <f t="shared" si="0"/>
        <v>12</v>
      </c>
      <c r="C30" s="45" t="s">
        <v>154</v>
      </c>
      <c r="D30" s="1" t="s">
        <v>97</v>
      </c>
      <c r="E30" s="1" t="s">
        <v>98</v>
      </c>
      <c r="K30" s="2"/>
    </row>
    <row r="31" spans="1:11" x14ac:dyDescent="0.4">
      <c r="B31" s="1">
        <f t="shared" si="0"/>
        <v>13</v>
      </c>
      <c r="C31" s="45" t="s">
        <v>165</v>
      </c>
      <c r="D31" s="1" t="s">
        <v>102</v>
      </c>
      <c r="E31" s="1" t="s">
        <v>103</v>
      </c>
      <c r="K31" s="2"/>
    </row>
    <row r="32" spans="1:11" x14ac:dyDescent="0.4">
      <c r="B32" s="1">
        <f t="shared" si="0"/>
        <v>14</v>
      </c>
      <c r="C32" s="45" t="s">
        <v>165</v>
      </c>
      <c r="D32" s="1" t="s">
        <v>143</v>
      </c>
      <c r="E32" s="1" t="s">
        <v>144</v>
      </c>
      <c r="K32" s="2"/>
    </row>
    <row r="33" spans="2:11" x14ac:dyDescent="0.4">
      <c r="B33" s="1">
        <f t="shared" si="0"/>
        <v>15</v>
      </c>
      <c r="C33" s="45" t="s">
        <v>165</v>
      </c>
      <c r="D33" s="1" t="s">
        <v>142</v>
      </c>
      <c r="E33" s="1" t="s">
        <v>116</v>
      </c>
      <c r="K33" s="2"/>
    </row>
    <row r="34" spans="2:11" x14ac:dyDescent="0.4">
      <c r="B34" s="1">
        <f t="shared" si="0"/>
        <v>16</v>
      </c>
      <c r="C34" s="45" t="s">
        <v>165</v>
      </c>
      <c r="D34" s="1" t="s">
        <v>145</v>
      </c>
      <c r="E34" s="1" t="s">
        <v>146</v>
      </c>
      <c r="K34" s="2"/>
    </row>
    <row r="35" spans="2:11" x14ac:dyDescent="0.4">
      <c r="B35" s="1">
        <f t="shared" si="0"/>
        <v>17</v>
      </c>
      <c r="C35" s="45" t="s">
        <v>165</v>
      </c>
      <c r="D35" s="1" t="s">
        <v>147</v>
      </c>
      <c r="E35" s="1" t="s">
        <v>148</v>
      </c>
      <c r="K35" s="2"/>
    </row>
    <row r="36" spans="2:11" x14ac:dyDescent="0.4">
      <c r="B36" s="1">
        <f t="shared" si="0"/>
        <v>18</v>
      </c>
      <c r="C36" s="45" t="s">
        <v>165</v>
      </c>
      <c r="D36" s="1" t="s">
        <v>166</v>
      </c>
      <c r="E36" s="1" t="s">
        <v>167</v>
      </c>
      <c r="K36" s="2"/>
    </row>
    <row r="37" spans="2:11" x14ac:dyDescent="0.4">
      <c r="B37" s="1">
        <f t="shared" si="0"/>
        <v>19</v>
      </c>
      <c r="C37" s="45" t="s">
        <v>165</v>
      </c>
      <c r="D37" s="1" t="s">
        <v>149</v>
      </c>
      <c r="E37" s="1" t="s">
        <v>150</v>
      </c>
      <c r="K37" s="2"/>
    </row>
    <row r="38" spans="2:11" x14ac:dyDescent="0.4">
      <c r="B38" s="1">
        <f t="shared" si="0"/>
        <v>20</v>
      </c>
      <c r="C38" s="45" t="s">
        <v>344</v>
      </c>
      <c r="D38" s="1" t="s">
        <v>345</v>
      </c>
      <c r="E38" s="1" t="s">
        <v>347</v>
      </c>
      <c r="K38" s="2"/>
    </row>
    <row r="39" spans="2:11" x14ac:dyDescent="0.4">
      <c r="B39" s="1">
        <f t="shared" si="0"/>
        <v>21</v>
      </c>
      <c r="C39" s="45" t="s">
        <v>344</v>
      </c>
      <c r="D39" s="1" t="s">
        <v>346</v>
      </c>
      <c r="E39" s="1" t="s">
        <v>348</v>
      </c>
      <c r="K39" s="2"/>
    </row>
    <row r="40" spans="2:11" x14ac:dyDescent="0.4">
      <c r="B40" s="1">
        <f t="shared" si="0"/>
        <v>22</v>
      </c>
      <c r="C40" s="45" t="s">
        <v>352</v>
      </c>
      <c r="D40" s="1" t="s">
        <v>538</v>
      </c>
      <c r="E40" s="1" t="s">
        <v>472</v>
      </c>
      <c r="K40" s="2"/>
    </row>
    <row r="41" spans="2:11" x14ac:dyDescent="0.4">
      <c r="B41" s="1">
        <f t="shared" si="0"/>
        <v>23</v>
      </c>
      <c r="C41" s="45" t="s">
        <v>352</v>
      </c>
      <c r="D41" s="1" t="s">
        <v>467</v>
      </c>
      <c r="E41" s="1" t="s">
        <v>474</v>
      </c>
      <c r="K41" s="2"/>
    </row>
    <row r="42" spans="2:11" x14ac:dyDescent="0.4">
      <c r="B42" s="1">
        <f t="shared" si="0"/>
        <v>24</v>
      </c>
      <c r="C42" s="45" t="s">
        <v>352</v>
      </c>
      <c r="D42" s="1" t="s">
        <v>468</v>
      </c>
      <c r="E42" s="1" t="s">
        <v>476</v>
      </c>
      <c r="K42" s="2"/>
    </row>
    <row r="43" spans="2:11" x14ac:dyDescent="0.4">
      <c r="B43" s="1">
        <f t="shared" si="0"/>
        <v>25</v>
      </c>
      <c r="C43" s="45" t="s">
        <v>352</v>
      </c>
      <c r="D43" s="1" t="s">
        <v>469</v>
      </c>
      <c r="E43" s="1" t="s">
        <v>478</v>
      </c>
      <c r="K43" s="2"/>
    </row>
    <row r="44" spans="2:11" x14ac:dyDescent="0.4">
      <c r="B44" s="1">
        <f t="shared" si="0"/>
        <v>26</v>
      </c>
      <c r="C44" s="45" t="s">
        <v>352</v>
      </c>
      <c r="D44" s="1" t="s">
        <v>470</v>
      </c>
      <c r="E44" s="1" t="s">
        <v>539</v>
      </c>
      <c r="K44" s="2"/>
    </row>
    <row r="45" spans="2:11" x14ac:dyDescent="0.4">
      <c r="B45" s="1">
        <f t="shared" si="0"/>
        <v>27</v>
      </c>
      <c r="C45" s="45" t="s">
        <v>352</v>
      </c>
      <c r="D45" s="1" t="s">
        <v>471</v>
      </c>
      <c r="E45" s="1" t="s">
        <v>540</v>
      </c>
      <c r="K45" s="2"/>
    </row>
    <row r="46" spans="2:11" x14ac:dyDescent="0.4">
      <c r="B46" s="1">
        <f t="shared" si="0"/>
        <v>28</v>
      </c>
      <c r="C46" s="45" t="s">
        <v>352</v>
      </c>
      <c r="D46" s="1" t="s">
        <v>541</v>
      </c>
      <c r="E46" s="1" t="s">
        <v>542</v>
      </c>
      <c r="K46" s="2"/>
    </row>
    <row r="47" spans="2:11" x14ac:dyDescent="0.4">
      <c r="B47" s="1">
        <f t="shared" si="0"/>
        <v>29</v>
      </c>
      <c r="C47" s="45" t="s">
        <v>352</v>
      </c>
      <c r="D47" s="1" t="s">
        <v>543</v>
      </c>
      <c r="E47" s="1" t="s">
        <v>544</v>
      </c>
      <c r="K47" s="2"/>
    </row>
    <row r="48" spans="2:11" x14ac:dyDescent="0.4">
      <c r="B48" s="1">
        <f t="shared" si="0"/>
        <v>30</v>
      </c>
      <c r="C48" s="45" t="s">
        <v>352</v>
      </c>
      <c r="D48" s="1" t="s">
        <v>545</v>
      </c>
      <c r="E48" s="1" t="s">
        <v>546</v>
      </c>
      <c r="K48" s="2"/>
    </row>
    <row r="49" spans="1:11" x14ac:dyDescent="0.4">
      <c r="B49" s="1">
        <f t="shared" si="0"/>
        <v>31</v>
      </c>
      <c r="C49" s="45" t="s">
        <v>352</v>
      </c>
      <c r="D49" s="1" t="s">
        <v>547</v>
      </c>
      <c r="E49" s="1" t="s">
        <v>548</v>
      </c>
      <c r="K49" s="2"/>
    </row>
    <row r="50" spans="1:11" x14ac:dyDescent="0.4">
      <c r="B50" s="1">
        <f t="shared" si="0"/>
        <v>32</v>
      </c>
      <c r="C50" s="45" t="s">
        <v>352</v>
      </c>
      <c r="D50" s="1" t="s">
        <v>549</v>
      </c>
      <c r="E50" s="1" t="s">
        <v>550</v>
      </c>
      <c r="K50" s="2"/>
    </row>
    <row r="51" spans="1:11" x14ac:dyDescent="0.4">
      <c r="B51" s="1">
        <f t="shared" si="0"/>
        <v>33</v>
      </c>
      <c r="C51" s="45" t="s">
        <v>352</v>
      </c>
      <c r="D51" s="1" t="s">
        <v>551</v>
      </c>
      <c r="E51" s="1" t="s">
        <v>552</v>
      </c>
      <c r="K51" s="2"/>
    </row>
    <row r="52" spans="1:11" x14ac:dyDescent="0.4">
      <c r="B52" s="1">
        <f t="shared" si="0"/>
        <v>34</v>
      </c>
      <c r="C52" s="45" t="s">
        <v>352</v>
      </c>
      <c r="D52" s="1" t="s">
        <v>553</v>
      </c>
      <c r="E52" s="1" t="s">
        <v>554</v>
      </c>
      <c r="K52" s="2"/>
    </row>
    <row r="53" spans="1:11" x14ac:dyDescent="0.4">
      <c r="C53" s="45"/>
      <c r="K53" s="2"/>
    </row>
    <row r="54" spans="1:11" x14ac:dyDescent="0.4">
      <c r="K54" s="2"/>
    </row>
    <row r="55" spans="1:11" x14ac:dyDescent="0.4">
      <c r="K55" s="2"/>
    </row>
    <row r="56" spans="1:11" x14ac:dyDescent="0.4">
      <c r="K56" s="2"/>
    </row>
    <row r="57" spans="1:11" x14ac:dyDescent="0.4">
      <c r="A57" s="1" t="s">
        <v>13</v>
      </c>
      <c r="K57" s="2"/>
    </row>
    <row r="58" spans="1:11" x14ac:dyDescent="0.4">
      <c r="B58" s="1" t="s">
        <v>14</v>
      </c>
      <c r="K58" s="2"/>
    </row>
    <row r="59" spans="1:11" x14ac:dyDescent="0.4">
      <c r="B59" s="1" t="s">
        <v>414</v>
      </c>
      <c r="K59" s="2"/>
    </row>
    <row r="60" spans="1:11" x14ac:dyDescent="0.4">
      <c r="B60" s="20" t="s">
        <v>417</v>
      </c>
      <c r="K60" s="2"/>
    </row>
    <row r="61" spans="1:11" ht="18.75" x14ac:dyDescent="0.4">
      <c r="B61" s="56" t="s">
        <v>557</v>
      </c>
      <c r="C61" s="56"/>
      <c r="K61" s="2"/>
    </row>
    <row r="62" spans="1:11" ht="18.75" x14ac:dyDescent="0.4">
      <c r="B62" s="56" t="s">
        <v>558</v>
      </c>
      <c r="C62" s="56"/>
      <c r="K62" s="2"/>
    </row>
    <row r="63" spans="1:11" x14ac:dyDescent="0.4">
      <c r="K63" s="2"/>
    </row>
    <row r="64" spans="1:11" x14ac:dyDescent="0.4">
      <c r="A64" s="1" t="s">
        <v>15</v>
      </c>
      <c r="K64" s="2"/>
    </row>
    <row r="65" spans="1:11" x14ac:dyDescent="0.4">
      <c r="A65" s="1">
        <v>1</v>
      </c>
      <c r="B65" s="1" t="s">
        <v>16</v>
      </c>
      <c r="K65" s="2"/>
    </row>
    <row r="66" spans="1:11" x14ac:dyDescent="0.4">
      <c r="A66" s="1">
        <v>2</v>
      </c>
      <c r="B66" s="1" t="s">
        <v>442</v>
      </c>
      <c r="K66" s="2"/>
    </row>
    <row r="67" spans="1:11" x14ac:dyDescent="0.4">
      <c r="A67" s="1">
        <v>3</v>
      </c>
      <c r="B67" s="1" t="s">
        <v>17</v>
      </c>
      <c r="K67" s="2"/>
    </row>
    <row r="68" spans="1:11" x14ac:dyDescent="0.4">
      <c r="A68" s="1">
        <v>4</v>
      </c>
      <c r="B68" s="1" t="s">
        <v>358</v>
      </c>
      <c r="K68" s="2"/>
    </row>
    <row r="69" spans="1:11" x14ac:dyDescent="0.4">
      <c r="B69" s="1" t="s">
        <v>356</v>
      </c>
      <c r="K69" s="2"/>
    </row>
    <row r="70" spans="1:11" x14ac:dyDescent="0.4">
      <c r="B70" s="1" t="s">
        <v>357</v>
      </c>
      <c r="K70" s="2"/>
    </row>
    <row r="71" spans="1:11" x14ac:dyDescent="0.4">
      <c r="A71" s="1">
        <v>5</v>
      </c>
      <c r="B71" s="1" t="s">
        <v>18</v>
      </c>
      <c r="K71" s="2"/>
    </row>
    <row r="72" spans="1:11" x14ac:dyDescent="0.4">
      <c r="B72" s="1" t="s">
        <v>19</v>
      </c>
      <c r="K72" s="2"/>
    </row>
    <row r="73" spans="1:11" x14ac:dyDescent="0.4">
      <c r="A73" s="1">
        <v>6</v>
      </c>
      <c r="B73" s="1" t="s">
        <v>20</v>
      </c>
      <c r="K73" s="2"/>
    </row>
    <row r="74" spans="1:11" x14ac:dyDescent="0.4">
      <c r="B74" s="1" t="s">
        <v>172</v>
      </c>
      <c r="K74" s="2"/>
    </row>
    <row r="75" spans="1:11" x14ac:dyDescent="0.4">
      <c r="B75" s="1" t="s">
        <v>21</v>
      </c>
      <c r="K75" s="2"/>
    </row>
    <row r="76" spans="1:11" x14ac:dyDescent="0.4">
      <c r="A76" s="1">
        <v>7</v>
      </c>
      <c r="B76" s="1" t="s">
        <v>22</v>
      </c>
      <c r="K76" s="2"/>
    </row>
    <row r="77" spans="1:11" x14ac:dyDescent="0.4">
      <c r="A77" s="1">
        <v>8</v>
      </c>
      <c r="B77" s="1" t="s">
        <v>41</v>
      </c>
      <c r="K77" s="2"/>
    </row>
    <row r="78" spans="1:11" x14ac:dyDescent="0.4">
      <c r="A78" s="1">
        <v>9</v>
      </c>
      <c r="B78" s="1" t="s">
        <v>443</v>
      </c>
      <c r="K78" s="2"/>
    </row>
    <row r="79" spans="1:11" x14ac:dyDescent="0.4">
      <c r="B79" s="1" t="s">
        <v>23</v>
      </c>
      <c r="K79" s="2"/>
    </row>
    <row r="80" spans="1:11" x14ac:dyDescent="0.4">
      <c r="B80" s="1" t="s">
        <v>24</v>
      </c>
      <c r="K80" s="2"/>
    </row>
    <row r="81" spans="1:11" x14ac:dyDescent="0.4">
      <c r="K81" s="2"/>
    </row>
    <row r="82" spans="1:11" x14ac:dyDescent="0.4">
      <c r="A82" s="1">
        <v>10</v>
      </c>
      <c r="B82" s="1" t="s">
        <v>606</v>
      </c>
      <c r="K82" s="2"/>
    </row>
    <row r="83" spans="1:11" x14ac:dyDescent="0.4">
      <c r="B83" s="1" t="s">
        <v>607</v>
      </c>
      <c r="K83" s="2"/>
    </row>
    <row r="84" spans="1:11" x14ac:dyDescent="0.4">
      <c r="B84" s="1" t="s">
        <v>608</v>
      </c>
      <c r="K84" s="2"/>
    </row>
    <row r="85" spans="1:11" x14ac:dyDescent="0.4">
      <c r="K85" s="2"/>
    </row>
    <row r="86" spans="1:11" x14ac:dyDescent="0.4">
      <c r="K86" s="2"/>
    </row>
    <row r="87" spans="1:11" x14ac:dyDescent="0.4">
      <c r="K87" s="2"/>
    </row>
    <row r="88" spans="1:11" x14ac:dyDescent="0.4">
      <c r="A88" s="1" t="s">
        <v>560</v>
      </c>
      <c r="K88" s="2"/>
    </row>
    <row r="89" spans="1:11" x14ac:dyDescent="0.4">
      <c r="A89" s="1">
        <v>1</v>
      </c>
      <c r="B89" s="1" t="s">
        <v>603</v>
      </c>
      <c r="K89" s="2"/>
    </row>
    <row r="90" spans="1:11" x14ac:dyDescent="0.4">
      <c r="B90" s="1" t="s">
        <v>604</v>
      </c>
      <c r="K90" s="2"/>
    </row>
    <row r="91" spans="1:11" x14ac:dyDescent="0.4">
      <c r="K91" s="2"/>
    </row>
    <row r="92" spans="1:11" x14ac:dyDescent="0.4">
      <c r="A92" s="1">
        <v>2</v>
      </c>
      <c r="B92" s="1" t="s">
        <v>564</v>
      </c>
      <c r="K92" s="2"/>
    </row>
    <row r="93" spans="1:11" x14ac:dyDescent="0.4">
      <c r="B93" s="1" t="s">
        <v>602</v>
      </c>
      <c r="K93" s="2"/>
    </row>
    <row r="94" spans="1:11" x14ac:dyDescent="0.4">
      <c r="K94" s="2"/>
    </row>
    <row r="95" spans="1:11" x14ac:dyDescent="0.4">
      <c r="A95" s="2" t="s">
        <v>561</v>
      </c>
      <c r="K95" s="2"/>
    </row>
    <row r="96" spans="1:11" x14ac:dyDescent="0.4">
      <c r="A96" s="1">
        <v>1</v>
      </c>
      <c r="B96" s="1" t="s">
        <v>25</v>
      </c>
      <c r="K96" s="2"/>
    </row>
    <row r="97" spans="1:11" x14ac:dyDescent="0.4">
      <c r="A97" s="1">
        <v>2</v>
      </c>
      <c r="B97" s="43" t="s">
        <v>26</v>
      </c>
      <c r="K97" s="2"/>
    </row>
    <row r="98" spans="1:11" x14ac:dyDescent="0.4">
      <c r="A98" s="1">
        <v>3</v>
      </c>
      <c r="B98" s="1" t="s">
        <v>27</v>
      </c>
      <c r="K98" s="2"/>
    </row>
    <row r="99" spans="1:11" x14ac:dyDescent="0.4">
      <c r="B99" s="1" t="s">
        <v>28</v>
      </c>
      <c r="K99" s="2"/>
    </row>
    <row r="100" spans="1:11" x14ac:dyDescent="0.4">
      <c r="B100" s="1" t="s">
        <v>29</v>
      </c>
      <c r="K100" s="2"/>
    </row>
    <row r="101" spans="1:11" x14ac:dyDescent="0.4">
      <c r="B101" s="1" t="s">
        <v>30</v>
      </c>
      <c r="K101" s="2"/>
    </row>
    <row r="102" spans="1:11" x14ac:dyDescent="0.4">
      <c r="K102" s="2"/>
    </row>
    <row r="103" spans="1:11" x14ac:dyDescent="0.4">
      <c r="A103" s="1">
        <v>4</v>
      </c>
      <c r="B103" s="1" t="s">
        <v>173</v>
      </c>
      <c r="K103" s="2"/>
    </row>
    <row r="104" spans="1:11" x14ac:dyDescent="0.4">
      <c r="B104" s="1" t="s">
        <v>130</v>
      </c>
      <c r="C104" s="17"/>
      <c r="K104" s="2"/>
    </row>
    <row r="105" spans="1:11" ht="18.75" x14ac:dyDescent="0.4">
      <c r="B105" s="1" t="s">
        <v>174</v>
      </c>
      <c r="C105" s="8"/>
      <c r="K105" s="2"/>
    </row>
    <row r="106" spans="1:11" ht="18.75" x14ac:dyDescent="0.4">
      <c r="C106" s="23"/>
      <c r="K106" s="2"/>
    </row>
    <row r="107" spans="1:11" x14ac:dyDescent="0.4">
      <c r="A107" s="1">
        <v>5</v>
      </c>
      <c r="B107" s="1" t="s">
        <v>605</v>
      </c>
      <c r="K107" s="2"/>
    </row>
    <row r="108" spans="1:11" x14ac:dyDescent="0.4">
      <c r="K108" s="2"/>
    </row>
    <row r="109" spans="1:11" x14ac:dyDescent="0.4">
      <c r="A109" s="1">
        <f>A107+1</f>
        <v>6</v>
      </c>
      <c r="B109" s="57" t="s">
        <v>415</v>
      </c>
      <c r="K109" s="2"/>
    </row>
    <row r="110" spans="1:11" x14ac:dyDescent="0.4">
      <c r="K110" s="2"/>
    </row>
    <row r="111" spans="1:11" x14ac:dyDescent="0.4">
      <c r="A111" s="1">
        <f>A109+1</f>
        <v>7</v>
      </c>
      <c r="B111" s="1" t="s">
        <v>416</v>
      </c>
      <c r="K111" s="2"/>
    </row>
    <row r="112" spans="1:11" x14ac:dyDescent="0.4">
      <c r="B112" s="6" t="s">
        <v>131</v>
      </c>
      <c r="K112" s="2"/>
    </row>
    <row r="113" spans="1:11" x14ac:dyDescent="0.4">
      <c r="B113" s="6"/>
      <c r="K113" s="2"/>
    </row>
    <row r="114" spans="1:11" x14ac:dyDescent="0.4">
      <c r="A114" s="1">
        <f>A111+1</f>
        <v>8</v>
      </c>
      <c r="B114" s="22" t="s">
        <v>177</v>
      </c>
      <c r="K114" s="2"/>
    </row>
    <row r="115" spans="1:11" x14ac:dyDescent="0.4">
      <c r="K115" s="2"/>
    </row>
    <row r="116" spans="1:11" x14ac:dyDescent="0.4">
      <c r="A116" s="1">
        <f>A114+1</f>
        <v>9</v>
      </c>
      <c r="B116" s="1" t="s">
        <v>349</v>
      </c>
      <c r="K116" s="2"/>
    </row>
    <row r="117" spans="1:11" x14ac:dyDescent="0.4">
      <c r="K117" s="2"/>
    </row>
    <row r="118" spans="1:11" x14ac:dyDescent="0.4">
      <c r="B118" s="1" t="s">
        <v>31</v>
      </c>
      <c r="I118" s="2"/>
      <c r="K118" s="2"/>
    </row>
    <row r="119" spans="1:11" x14ac:dyDescent="0.4">
      <c r="K119" s="2"/>
    </row>
    <row r="120" spans="1:11" x14ac:dyDescent="0.4">
      <c r="I120" s="2"/>
      <c r="K120" s="2"/>
    </row>
    <row r="121" spans="1:11" x14ac:dyDescent="0.4">
      <c r="A121" s="1" t="s">
        <v>562</v>
      </c>
      <c r="K121" s="2"/>
    </row>
    <row r="122" spans="1:11" x14ac:dyDescent="0.4">
      <c r="B122" s="1" t="s">
        <v>176</v>
      </c>
      <c r="K122" s="2"/>
    </row>
    <row r="123" spans="1:11" x14ac:dyDescent="0.4">
      <c r="B123" s="1" t="s">
        <v>559</v>
      </c>
      <c r="K123" s="2"/>
    </row>
    <row r="124" spans="1:11" x14ac:dyDescent="0.4">
      <c r="K124" s="2"/>
    </row>
    <row r="125" spans="1:11" x14ac:dyDescent="0.4">
      <c r="A125" s="1" t="s">
        <v>563</v>
      </c>
      <c r="K125" s="2"/>
    </row>
    <row r="126" spans="1:11" x14ac:dyDescent="0.4">
      <c r="A126" s="1" t="s">
        <v>175</v>
      </c>
      <c r="B126" s="6" t="s">
        <v>353</v>
      </c>
      <c r="K126" s="2"/>
    </row>
    <row r="127" spans="1:11" x14ac:dyDescent="0.4">
      <c r="B127" s="6" t="s">
        <v>354</v>
      </c>
      <c r="K127" s="2"/>
    </row>
    <row r="128" spans="1:11" x14ac:dyDescent="0.4">
      <c r="B128" s="6" t="s">
        <v>355</v>
      </c>
      <c r="K128" s="2"/>
    </row>
    <row r="129" spans="1:11" x14ac:dyDescent="0.4">
      <c r="A129" s="2"/>
      <c r="K129" s="2"/>
    </row>
    <row r="131" spans="1:11" x14ac:dyDescent="0.4">
      <c r="B131" s="58"/>
    </row>
    <row r="132" spans="1:11" x14ac:dyDescent="0.4">
      <c r="B132" s="58"/>
    </row>
    <row r="133" spans="1:11" x14ac:dyDescent="0.4">
      <c r="B133" s="58"/>
    </row>
    <row r="135" spans="1:11" x14ac:dyDescent="0.4">
      <c r="B135"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63"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71</v>
      </c>
      <c r="B1" s="11" t="s">
        <v>573</v>
      </c>
    </row>
    <row r="2" spans="1:9" ht="18" customHeight="1" x14ac:dyDescent="0.4">
      <c r="A2" s="11" t="s">
        <v>72</v>
      </c>
      <c r="B2" s="15" t="s">
        <v>572</v>
      </c>
      <c r="F2" s="15"/>
    </row>
    <row r="3" spans="1:9" ht="46.5" customHeight="1" x14ac:dyDescent="0.4"/>
    <row r="4" spans="1:9" ht="18" customHeight="1" x14ac:dyDescent="0.4"/>
    <row r="5" spans="1:9" ht="18" customHeight="1" x14ac:dyDescent="0.4">
      <c r="A5" t="s">
        <v>363</v>
      </c>
      <c r="B5" t="s">
        <v>35</v>
      </c>
      <c r="C5" t="s">
        <v>37</v>
      </c>
    </row>
    <row r="6" spans="1:9" x14ac:dyDescent="0.4">
      <c r="A6" s="1" t="s">
        <v>575</v>
      </c>
      <c r="B6" s="46" t="s">
        <v>571</v>
      </c>
      <c r="C6" t="s">
        <v>576</v>
      </c>
      <c r="G6" s="7"/>
      <c r="H6" s="7"/>
      <c r="I6" s="7"/>
    </row>
    <row r="7" spans="1:9" x14ac:dyDescent="0.4">
      <c r="A7" s="1" t="s">
        <v>565</v>
      </c>
      <c r="B7" s="46" t="s">
        <v>568</v>
      </c>
      <c r="D7" s="7"/>
      <c r="G7" s="7"/>
      <c r="H7" s="7"/>
      <c r="I7" s="7"/>
    </row>
    <row r="8" spans="1:9" x14ac:dyDescent="0.4">
      <c r="A8" s="1" t="s">
        <v>566</v>
      </c>
      <c r="B8" s="46" t="s">
        <v>569</v>
      </c>
      <c r="C8" t="s">
        <v>574</v>
      </c>
      <c r="I8" s="7"/>
    </row>
    <row r="9" spans="1:9" x14ac:dyDescent="0.4">
      <c r="A9" s="1" t="s">
        <v>567</v>
      </c>
      <c r="B9" s="46" t="s">
        <v>570</v>
      </c>
      <c r="H9" s="7"/>
      <c r="I9" s="7"/>
    </row>
    <row r="10" spans="1:9" x14ac:dyDescent="0.4">
      <c r="A10" s="1"/>
    </row>
    <row r="11" spans="1:9" x14ac:dyDescent="0.4">
      <c r="A11" s="1"/>
    </row>
    <row r="12" spans="1:9" x14ac:dyDescent="0.4">
      <c r="A12" s="1"/>
    </row>
    <row r="13" spans="1:9" x14ac:dyDescent="0.4">
      <c r="A13" s="1"/>
      <c r="B13" s="5"/>
    </row>
    <row r="14" spans="1:9" x14ac:dyDescent="0.4">
      <c r="A14" s="1"/>
    </row>
    <row r="16" spans="1:9" x14ac:dyDescent="0.4">
      <c r="A16" s="51"/>
      <c r="E16" s="51"/>
    </row>
    <row r="17" spans="1:5" x14ac:dyDescent="0.4">
      <c r="A17" s="51"/>
      <c r="E17" s="51"/>
    </row>
    <row r="18" spans="1:5" x14ac:dyDescent="0.4">
      <c r="E18" s="51"/>
    </row>
    <row r="19" spans="1:5" x14ac:dyDescent="0.4">
      <c r="A19" s="10"/>
      <c r="E19" s="51"/>
    </row>
    <row r="20" spans="1:5" x14ac:dyDescent="0.4">
      <c r="A20" s="53"/>
      <c r="E20" s="51"/>
    </row>
    <row r="21" spans="1:5" x14ac:dyDescent="0.4">
      <c r="A21" s="51"/>
      <c r="B21" s="49"/>
      <c r="E21" s="51"/>
    </row>
    <row r="22" spans="1:5" x14ac:dyDescent="0.4">
      <c r="A22" s="51"/>
      <c r="B22" s="49"/>
      <c r="E22" s="51"/>
    </row>
    <row r="23" spans="1:5" x14ac:dyDescent="0.4">
      <c r="A23" s="51"/>
      <c r="B23" s="49"/>
    </row>
    <row r="24" spans="1:5" x14ac:dyDescent="0.4">
      <c r="A24" s="51"/>
      <c r="B24" s="49"/>
    </row>
    <row r="25" spans="1:5" x14ac:dyDescent="0.4">
      <c r="A25" s="51"/>
      <c r="B25" s="49"/>
    </row>
    <row r="26" spans="1:5" x14ac:dyDescent="0.4">
      <c r="A26" s="51"/>
      <c r="B26" s="49"/>
    </row>
    <row r="27" spans="1:5" x14ac:dyDescent="0.4">
      <c r="A27" s="51"/>
      <c r="B27" s="49"/>
    </row>
    <row r="28" spans="1:5" x14ac:dyDescent="0.4">
      <c r="A28" s="51"/>
      <c r="B28" s="49"/>
    </row>
    <row r="29" spans="1:5" x14ac:dyDescent="0.4">
      <c r="A29" s="51"/>
      <c r="B29" s="49"/>
    </row>
    <row r="30" spans="1:5" x14ac:dyDescent="0.4">
      <c r="A30" s="51"/>
      <c r="B30" s="49"/>
    </row>
    <row r="31" spans="1:5" x14ac:dyDescent="0.4">
      <c r="A31" s="51"/>
      <c r="B31" s="49"/>
    </row>
    <row r="32" spans="1:5" x14ac:dyDescent="0.4">
      <c r="A32" s="51"/>
      <c r="B32" s="49"/>
    </row>
    <row r="33" spans="1:2" x14ac:dyDescent="0.4">
      <c r="A33" s="51"/>
      <c r="B33" s="49"/>
    </row>
    <row r="34" spans="1:2" x14ac:dyDescent="0.4">
      <c r="A34" s="51"/>
      <c r="B34" s="49"/>
    </row>
    <row r="35" spans="1:2" x14ac:dyDescent="0.4">
      <c r="A35" s="51"/>
      <c r="B35" s="49"/>
    </row>
  </sheetData>
  <sheetProtection selectLockedCells="1" selectUnlockedCells="1"/>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CreateSecureConfig">
                <anchor moveWithCells="1" sizeWithCells="1">
                  <from>
                    <xdr:col>1</xdr:col>
                    <xdr:colOff>142875</xdr:colOff>
                    <xdr:row>2</xdr:row>
                    <xdr:rowOff>123825</xdr:rowOff>
                  </from>
                  <to>
                    <xdr:col>1</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71</v>
      </c>
      <c r="B1" s="11" t="s">
        <v>361</v>
      </c>
    </row>
    <row r="2" spans="1:9" ht="18" customHeight="1" x14ac:dyDescent="0.4">
      <c r="A2" s="11" t="s">
        <v>72</v>
      </c>
      <c r="B2" s="15" t="s">
        <v>362</v>
      </c>
      <c r="F2" s="15" t="s">
        <v>366</v>
      </c>
    </row>
    <row r="3" spans="1:9" ht="46.5" customHeight="1" x14ac:dyDescent="0.4"/>
    <row r="4" spans="1:9" ht="18" customHeight="1" x14ac:dyDescent="0.4"/>
    <row r="5" spans="1:9" ht="18" customHeight="1" x14ac:dyDescent="0.4">
      <c r="A5" t="s">
        <v>363</v>
      </c>
      <c r="B5" t="s">
        <v>35</v>
      </c>
      <c r="C5" t="s">
        <v>37</v>
      </c>
    </row>
    <row r="6" spans="1:9" x14ac:dyDescent="0.4">
      <c r="A6" t="s">
        <v>32</v>
      </c>
      <c r="B6" s="3" t="s">
        <v>445</v>
      </c>
      <c r="C6" t="s">
        <v>34</v>
      </c>
      <c r="G6" s="7"/>
      <c r="H6" s="7"/>
      <c r="I6" s="7"/>
    </row>
    <row r="7" spans="1:9" x14ac:dyDescent="0.4">
      <c r="A7" s="1" t="s">
        <v>33</v>
      </c>
      <c r="B7" s="46">
        <v>5</v>
      </c>
      <c r="C7" t="s">
        <v>178</v>
      </c>
      <c r="D7" s="7"/>
      <c r="G7" s="7"/>
      <c r="H7" s="7"/>
      <c r="I7" s="7"/>
    </row>
    <row r="8" spans="1:9" x14ac:dyDescent="0.4">
      <c r="A8" s="1"/>
      <c r="B8" s="5"/>
      <c r="C8" t="s">
        <v>350</v>
      </c>
      <c r="I8" s="7"/>
    </row>
    <row r="9" spans="1:9" x14ac:dyDescent="0.4">
      <c r="A9" s="1"/>
      <c r="H9" s="7"/>
      <c r="I9" s="7"/>
    </row>
    <row r="10" spans="1:9" x14ac:dyDescent="0.4">
      <c r="A10" s="1"/>
    </row>
    <row r="11" spans="1:9" x14ac:dyDescent="0.4">
      <c r="A11" s="1"/>
    </row>
    <row r="12" spans="1:9" x14ac:dyDescent="0.4">
      <c r="A12" s="1"/>
    </row>
    <row r="13" spans="1:9" x14ac:dyDescent="0.4">
      <c r="A13" s="1"/>
      <c r="B13" s="5"/>
    </row>
    <row r="14" spans="1:9" x14ac:dyDescent="0.4">
      <c r="A14" s="1"/>
    </row>
    <row r="16" spans="1:9" x14ac:dyDescent="0.4">
      <c r="A16" s="51" t="s">
        <v>375</v>
      </c>
      <c r="B16" s="47">
        <v>6</v>
      </c>
      <c r="E16" s="51"/>
      <c r="F16" t="s">
        <v>365</v>
      </c>
    </row>
    <row r="17" spans="1:6" x14ac:dyDescent="0.4">
      <c r="A17" s="51" t="s">
        <v>368</v>
      </c>
      <c r="B17" s="48" t="b">
        <v>1</v>
      </c>
      <c r="E17" s="51" t="s">
        <v>530</v>
      </c>
      <c r="F17">
        <v>2</v>
      </c>
    </row>
    <row r="18" spans="1:6" ht="409.5" x14ac:dyDescent="0.4">
      <c r="A18" t="s">
        <v>367</v>
      </c>
      <c r="B18" s="47" t="s">
        <v>614</v>
      </c>
      <c r="E18" s="51" t="s">
        <v>379</v>
      </c>
      <c r="F18" t="s">
        <v>529</v>
      </c>
    </row>
    <row r="19" spans="1:6" ht="56.25" x14ac:dyDescent="0.4">
      <c r="A19" s="10" t="s">
        <v>373</v>
      </c>
      <c r="B19" s="8">
        <v>20241103</v>
      </c>
      <c r="E19" s="51" t="s">
        <v>369</v>
      </c>
      <c r="F19" t="s">
        <v>444</v>
      </c>
    </row>
    <row r="20" spans="1:6" ht="56.25" x14ac:dyDescent="0.4">
      <c r="A20" s="53" t="s">
        <v>374</v>
      </c>
      <c r="B20" s="54">
        <v>20241103</v>
      </c>
      <c r="E20" s="51" t="s">
        <v>370</v>
      </c>
      <c r="F20">
        <v>0</v>
      </c>
    </row>
    <row r="21" spans="1:6" x14ac:dyDescent="0.4">
      <c r="A21" s="51"/>
      <c r="B21" s="49" t="s">
        <v>365</v>
      </c>
      <c r="E21" s="51" t="s">
        <v>498</v>
      </c>
    </row>
    <row r="22" spans="1:6" x14ac:dyDescent="0.4">
      <c r="A22" s="51" t="s">
        <v>615</v>
      </c>
      <c r="B22" s="49">
        <v>1</v>
      </c>
      <c r="E22" s="51" t="s">
        <v>528</v>
      </c>
      <c r="F22">
        <v>0</v>
      </c>
    </row>
    <row r="23" spans="1:6" x14ac:dyDescent="0.4">
      <c r="A23" s="51" t="s">
        <v>379</v>
      </c>
      <c r="B23" s="49" t="s">
        <v>613</v>
      </c>
      <c r="E23" t="s">
        <v>501</v>
      </c>
    </row>
    <row r="24" spans="1:6" x14ac:dyDescent="0.4">
      <c r="A24" s="51" t="s">
        <v>616</v>
      </c>
      <c r="B24" s="49" t="s">
        <v>577</v>
      </c>
    </row>
    <row r="25" spans="1:6" x14ac:dyDescent="0.4">
      <c r="A25" s="51" t="s">
        <v>370</v>
      </c>
      <c r="B25" s="49">
        <v>0</v>
      </c>
    </row>
    <row r="26" spans="1:6" x14ac:dyDescent="0.4">
      <c r="A26" s="51" t="s">
        <v>617</v>
      </c>
      <c r="B26" s="49"/>
    </row>
    <row r="27" spans="1:6" x14ac:dyDescent="0.4">
      <c r="A27" s="51" t="s">
        <v>618</v>
      </c>
      <c r="B27" s="49">
        <v>0</v>
      </c>
    </row>
    <row r="28" spans="1:6" x14ac:dyDescent="0.4">
      <c r="A28" s="51" t="s">
        <v>377</v>
      </c>
      <c r="B28" s="49"/>
    </row>
    <row r="29" spans="1:6" x14ac:dyDescent="0.4">
      <c r="A29" s="51"/>
      <c r="B29" s="49"/>
    </row>
    <row r="30" spans="1:6" x14ac:dyDescent="0.4">
      <c r="A30" s="51"/>
      <c r="B30" s="49"/>
    </row>
    <row r="31" spans="1:6" x14ac:dyDescent="0.4">
      <c r="A31" s="51"/>
      <c r="B31" s="49"/>
    </row>
    <row r="32" spans="1:6" x14ac:dyDescent="0.4">
      <c r="A32" s="51"/>
      <c r="B32" s="49"/>
    </row>
    <row r="33" spans="1:2" x14ac:dyDescent="0.4">
      <c r="A33" s="51"/>
      <c r="B33" s="49"/>
    </row>
    <row r="34" spans="1:2" x14ac:dyDescent="0.4">
      <c r="A34" s="51"/>
      <c r="B34" s="49"/>
    </row>
    <row r="35" spans="1:2" x14ac:dyDescent="0.4">
      <c r="A35" s="51"/>
      <c r="B35" s="49"/>
    </row>
  </sheetData>
  <sheetProtection selectLockedCells="1" selectUnlockedCells="1"/>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5.25" style="51" customWidth="1"/>
    <col min="14" max="14" width="24.125" style="51" customWidth="1"/>
    <col min="15" max="15" width="22.875" style="51" customWidth="1"/>
    <col min="16" max="16384" width="9" style="51"/>
  </cols>
  <sheetData>
    <row r="1" spans="1:15" s="11" customFormat="1" ht="21" customHeight="1" x14ac:dyDescent="0.4">
      <c r="A1" s="11" t="s">
        <v>71</v>
      </c>
      <c r="B1" s="11" t="s">
        <v>394</v>
      </c>
      <c r="F1" s="11" t="s">
        <v>73</v>
      </c>
      <c r="J1" s="11" t="s">
        <v>395</v>
      </c>
      <c r="N1" s="11" t="s">
        <v>396</v>
      </c>
    </row>
    <row r="2" spans="1:15" s="11" customFormat="1" ht="21" customHeight="1" x14ac:dyDescent="0.4">
      <c r="A2" s="11" t="s">
        <v>72</v>
      </c>
      <c r="B2" s="15" t="s">
        <v>162</v>
      </c>
      <c r="F2" s="15" t="s">
        <v>163</v>
      </c>
      <c r="J2" s="15" t="s">
        <v>397</v>
      </c>
      <c r="N2" s="15" t="s">
        <v>398</v>
      </c>
    </row>
    <row r="3" spans="1:15" ht="48" customHeight="1" x14ac:dyDescent="0.4"/>
    <row r="6" spans="1:15" x14ac:dyDescent="0.4">
      <c r="M6" s="51" t="s">
        <v>592</v>
      </c>
      <c r="N6" s="52"/>
      <c r="O6" s="51" t="s">
        <v>591</v>
      </c>
    </row>
    <row r="7" spans="1:15" x14ac:dyDescent="0.4">
      <c r="M7" s="51" t="s">
        <v>593</v>
      </c>
      <c r="N7" s="52"/>
      <c r="O7" s="51" t="s">
        <v>594</v>
      </c>
    </row>
    <row r="16" spans="1:15" x14ac:dyDescent="0.4">
      <c r="A16"/>
      <c r="B16" t="s">
        <v>365</v>
      </c>
      <c r="F16" t="s">
        <v>365</v>
      </c>
      <c r="J16" t="s">
        <v>365</v>
      </c>
      <c r="N16" t="s">
        <v>365</v>
      </c>
    </row>
    <row r="17" spans="1:14" s="55" customFormat="1" x14ac:dyDescent="0.4">
      <c r="A17" t="s">
        <v>596</v>
      </c>
      <c r="B17" s="8">
        <v>2</v>
      </c>
      <c r="E17" s="55" t="s">
        <v>359</v>
      </c>
      <c r="F17" s="8">
        <v>3</v>
      </c>
      <c r="I17" s="55" t="s">
        <v>584</v>
      </c>
      <c r="J17" s="8">
        <v>6</v>
      </c>
      <c r="M17" s="55" t="s">
        <v>587</v>
      </c>
      <c r="N17" s="8">
        <v>7</v>
      </c>
    </row>
    <row r="18" spans="1:14" s="55" customFormat="1" x14ac:dyDescent="0.4">
      <c r="A18" t="s">
        <v>402</v>
      </c>
      <c r="B18" s="8" t="s">
        <v>595</v>
      </c>
      <c r="E18" s="55" t="s">
        <v>601</v>
      </c>
      <c r="F18" s="8" t="s">
        <v>600</v>
      </c>
      <c r="I18" s="55" t="s">
        <v>402</v>
      </c>
      <c r="J18" s="8" t="s">
        <v>583</v>
      </c>
      <c r="M18" s="55" t="s">
        <v>588</v>
      </c>
      <c r="N18" s="8" t="s">
        <v>586</v>
      </c>
    </row>
    <row r="19" spans="1:14" s="55" customFormat="1" x14ac:dyDescent="0.4">
      <c r="A19" t="s">
        <v>597</v>
      </c>
      <c r="B19" s="8" t="s">
        <v>399</v>
      </c>
      <c r="E19" s="55" t="s">
        <v>369</v>
      </c>
      <c r="F19" s="8" t="s">
        <v>399</v>
      </c>
      <c r="I19" s="55" t="s">
        <v>585</v>
      </c>
      <c r="J19" s="8" t="s">
        <v>393</v>
      </c>
      <c r="M19" s="55" t="s">
        <v>589</v>
      </c>
      <c r="N19" s="8" t="s">
        <v>74</v>
      </c>
    </row>
    <row r="20" spans="1:14" s="55" customFormat="1" x14ac:dyDescent="0.4">
      <c r="A20" t="s">
        <v>370</v>
      </c>
      <c r="B20" s="8">
        <v>0</v>
      </c>
      <c r="E20" s="55" t="s">
        <v>370</v>
      </c>
      <c r="F20" s="8">
        <v>0</v>
      </c>
      <c r="I20" s="55" t="s">
        <v>370</v>
      </c>
      <c r="J20" s="8">
        <v>0</v>
      </c>
      <c r="M20" s="55" t="s">
        <v>370</v>
      </c>
      <c r="N20" s="8">
        <v>0</v>
      </c>
    </row>
    <row r="21" spans="1:14" s="55" customFormat="1" x14ac:dyDescent="0.4">
      <c r="A21" t="s">
        <v>598</v>
      </c>
      <c r="B21" s="8"/>
      <c r="E21" s="55" t="s">
        <v>364</v>
      </c>
      <c r="F21" s="8"/>
      <c r="I21" s="55" t="s">
        <v>364</v>
      </c>
      <c r="J21" s="8"/>
      <c r="M21" s="55" t="s">
        <v>590</v>
      </c>
      <c r="N21" s="8"/>
    </row>
    <row r="22" spans="1:14" s="55" customFormat="1" x14ac:dyDescent="0.4">
      <c r="A22" t="s">
        <v>371</v>
      </c>
      <c r="B22" s="8">
        <v>0</v>
      </c>
      <c r="E22" s="55" t="s">
        <v>371</v>
      </c>
      <c r="F22" s="8">
        <v>0</v>
      </c>
      <c r="I22" s="55" t="s">
        <v>371</v>
      </c>
      <c r="J22" s="8">
        <v>0</v>
      </c>
      <c r="M22" s="55" t="s">
        <v>371</v>
      </c>
      <c r="N22" s="8">
        <v>0</v>
      </c>
    </row>
    <row r="23" spans="1:14" x14ac:dyDescent="0.4">
      <c r="A23" t="s">
        <v>599</v>
      </c>
      <c r="B23" s="8"/>
      <c r="E23" s="51" t="s">
        <v>372</v>
      </c>
      <c r="F23" s="8"/>
      <c r="I23" s="51" t="s">
        <v>372</v>
      </c>
      <c r="J23" s="8"/>
      <c r="M23" s="51" t="s">
        <v>372</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71</v>
      </c>
      <c r="B1" s="12" t="s">
        <v>91</v>
      </c>
      <c r="F1" s="16" t="s">
        <v>89</v>
      </c>
      <c r="J1" s="16" t="s">
        <v>97</v>
      </c>
    </row>
    <row r="2" spans="1:11" x14ac:dyDescent="0.4">
      <c r="A2" s="11" t="s">
        <v>72</v>
      </c>
      <c r="B2" s="12" t="s">
        <v>92</v>
      </c>
      <c r="C2" s="12"/>
      <c r="D2" s="12"/>
      <c r="E2" s="12"/>
      <c r="F2" s="15" t="s">
        <v>161</v>
      </c>
      <c r="G2" s="11"/>
      <c r="I2" s="12"/>
      <c r="J2" s="12" t="s">
        <v>98</v>
      </c>
    </row>
    <row r="3" spans="1:11" ht="40.5" customHeight="1" x14ac:dyDescent="0.4"/>
    <row r="4" spans="1:11" x14ac:dyDescent="0.4">
      <c r="A4" s="9" t="s">
        <v>54</v>
      </c>
      <c r="I4" s="9" t="s">
        <v>54</v>
      </c>
    </row>
    <row r="5" spans="1:11" x14ac:dyDescent="0.4">
      <c r="A5" t="s">
        <v>36</v>
      </c>
      <c r="B5" t="s">
        <v>67</v>
      </c>
      <c r="C5" t="s">
        <v>37</v>
      </c>
      <c r="I5" t="s">
        <v>36</v>
      </c>
      <c r="J5" t="s">
        <v>67</v>
      </c>
    </row>
    <row r="6" spans="1:11" x14ac:dyDescent="0.4">
      <c r="A6" s="7" t="s">
        <v>47</v>
      </c>
      <c r="B6" s="3"/>
      <c r="C6" s="7" t="s">
        <v>43</v>
      </c>
      <c r="D6" s="7"/>
      <c r="I6" s="7" t="s">
        <v>47</v>
      </c>
      <c r="J6" s="3"/>
      <c r="K6" s="7" t="s">
        <v>43</v>
      </c>
    </row>
    <row r="7" spans="1:11" x14ac:dyDescent="0.4">
      <c r="A7" s="7" t="s">
        <v>48</v>
      </c>
      <c r="B7" s="3" t="s">
        <v>51</v>
      </c>
      <c r="C7" s="7" t="s">
        <v>44</v>
      </c>
      <c r="D7" s="7"/>
      <c r="I7" s="7" t="s">
        <v>48</v>
      </c>
      <c r="J7" s="3" t="s">
        <v>51</v>
      </c>
      <c r="K7" s="7" t="s">
        <v>44</v>
      </c>
    </row>
    <row r="8" spans="1:11" x14ac:dyDescent="0.4">
      <c r="A8" t="s">
        <v>49</v>
      </c>
      <c r="B8" s="4"/>
      <c r="C8" t="s">
        <v>45</v>
      </c>
      <c r="I8" t="s">
        <v>49</v>
      </c>
      <c r="J8" s="4"/>
      <c r="K8" t="s">
        <v>45</v>
      </c>
    </row>
    <row r="9" spans="1:11" x14ac:dyDescent="0.4">
      <c r="A9" t="s">
        <v>50</v>
      </c>
      <c r="B9" s="4"/>
      <c r="C9" t="s">
        <v>46</v>
      </c>
      <c r="I9" t="s">
        <v>50</v>
      </c>
      <c r="J9" s="4"/>
      <c r="K9" t="s">
        <v>46</v>
      </c>
    </row>
    <row r="10" spans="1:11" x14ac:dyDescent="0.4">
      <c r="A10" t="s">
        <v>68</v>
      </c>
      <c r="B10" s="4"/>
      <c r="I10" t="s">
        <v>68</v>
      </c>
      <c r="J10" s="4"/>
    </row>
    <row r="16" spans="1:11" x14ac:dyDescent="0.4">
      <c r="B16" t="s">
        <v>365</v>
      </c>
      <c r="F16" t="s">
        <v>365</v>
      </c>
      <c r="J16" t="s">
        <v>365</v>
      </c>
    </row>
    <row r="17" spans="1:10" x14ac:dyDescent="0.4">
      <c r="A17" t="s">
        <v>580</v>
      </c>
      <c r="B17" s="8">
        <v>3</v>
      </c>
      <c r="E17" t="s">
        <v>359</v>
      </c>
      <c r="F17" s="8">
        <v>13</v>
      </c>
      <c r="I17" t="s">
        <v>376</v>
      </c>
      <c r="J17" s="8">
        <v>9</v>
      </c>
    </row>
    <row r="18" spans="1:10" x14ac:dyDescent="0.4">
      <c r="A18" t="s">
        <v>402</v>
      </c>
      <c r="B18" s="8" t="s">
        <v>579</v>
      </c>
      <c r="C18" t="s">
        <v>53</v>
      </c>
      <c r="E18" t="s">
        <v>379</v>
      </c>
      <c r="F18" s="13" t="s">
        <v>420</v>
      </c>
      <c r="I18" t="s">
        <v>369</v>
      </c>
      <c r="J18" s="8" t="s">
        <v>70</v>
      </c>
    </row>
    <row r="19" spans="1:10" x14ac:dyDescent="0.4">
      <c r="A19" t="s">
        <v>369</v>
      </c>
      <c r="B19" s="8" t="s">
        <v>70</v>
      </c>
      <c r="E19" t="s">
        <v>369</v>
      </c>
      <c r="F19" s="14" t="s">
        <v>90</v>
      </c>
      <c r="I19" t="s">
        <v>378</v>
      </c>
      <c r="J19" s="8">
        <v>0</v>
      </c>
    </row>
    <row r="20" spans="1:10" x14ac:dyDescent="0.4">
      <c r="A20" t="s">
        <v>370</v>
      </c>
      <c r="B20" s="8">
        <v>0</v>
      </c>
      <c r="E20" t="s">
        <v>370</v>
      </c>
      <c r="F20" s="14">
        <v>0</v>
      </c>
      <c r="I20" t="s">
        <v>364</v>
      </c>
      <c r="J20" s="8"/>
    </row>
    <row r="21" spans="1:10" x14ac:dyDescent="0.4">
      <c r="A21" t="s">
        <v>581</v>
      </c>
      <c r="B21" s="8"/>
      <c r="E21" t="s">
        <v>364</v>
      </c>
      <c r="F21" s="8"/>
      <c r="I21" t="s">
        <v>371</v>
      </c>
      <c r="J21" s="8">
        <v>0</v>
      </c>
    </row>
    <row r="22" spans="1:10" x14ac:dyDescent="0.4">
      <c r="A22" t="s">
        <v>582</v>
      </c>
      <c r="B22" s="8">
        <v>0</v>
      </c>
      <c r="E22" t="s">
        <v>371</v>
      </c>
      <c r="F22" s="8">
        <v>0</v>
      </c>
      <c r="I22" t="s">
        <v>377</v>
      </c>
      <c r="J22" s="8"/>
    </row>
    <row r="23" spans="1:10" x14ac:dyDescent="0.4">
      <c r="A23" t="s">
        <v>372</v>
      </c>
      <c r="E23" t="s">
        <v>372</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22.87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71</v>
      </c>
      <c r="B1" s="16" t="s">
        <v>102</v>
      </c>
      <c r="F1" s="16" t="s">
        <v>109</v>
      </c>
      <c r="J1" s="16" t="s">
        <v>115</v>
      </c>
      <c r="N1" s="16" t="s">
        <v>111</v>
      </c>
      <c r="R1" s="16" t="s">
        <v>113</v>
      </c>
      <c r="V1" s="16" t="s">
        <v>169</v>
      </c>
      <c r="AB1" s="16" t="s">
        <v>170</v>
      </c>
    </row>
    <row r="2" spans="1:30" s="16" customFormat="1" ht="46.5" customHeight="1" x14ac:dyDescent="0.4">
      <c r="A2" s="16" t="s">
        <v>72</v>
      </c>
      <c r="B2" s="12" t="s">
        <v>103</v>
      </c>
      <c r="F2" s="12" t="s">
        <v>110</v>
      </c>
      <c r="I2" s="11"/>
      <c r="J2" s="15" t="s">
        <v>116</v>
      </c>
      <c r="K2" s="11"/>
      <c r="N2" s="12" t="s">
        <v>112</v>
      </c>
      <c r="R2" s="12" t="s">
        <v>114</v>
      </c>
      <c r="V2" s="12" t="s">
        <v>168</v>
      </c>
      <c r="AB2" s="12" t="s">
        <v>150</v>
      </c>
    </row>
    <row r="3" spans="1:30" ht="51.75" customHeight="1" x14ac:dyDescent="0.4"/>
    <row r="4" spans="1:30" x14ac:dyDescent="0.4">
      <c r="A4" s="9" t="s">
        <v>54</v>
      </c>
      <c r="E4" s="9" t="s">
        <v>54</v>
      </c>
      <c r="M4" s="9" t="s">
        <v>54</v>
      </c>
      <c r="Q4" s="9" t="s">
        <v>54</v>
      </c>
      <c r="U4" s="9" t="s">
        <v>54</v>
      </c>
      <c r="AA4" s="9" t="s">
        <v>54</v>
      </c>
    </row>
    <row r="5" spans="1:30" x14ac:dyDescent="0.4">
      <c r="A5" t="s">
        <v>36</v>
      </c>
      <c r="B5" t="s">
        <v>35</v>
      </c>
      <c r="C5" t="s">
        <v>37</v>
      </c>
      <c r="E5" t="s">
        <v>36</v>
      </c>
      <c r="F5" t="s">
        <v>35</v>
      </c>
      <c r="G5" t="s">
        <v>37</v>
      </c>
      <c r="I5" t="s">
        <v>36</v>
      </c>
      <c r="J5" t="s">
        <v>35</v>
      </c>
      <c r="K5" t="s">
        <v>37</v>
      </c>
      <c r="M5" t="s">
        <v>36</v>
      </c>
      <c r="N5" t="s">
        <v>35</v>
      </c>
      <c r="O5" t="s">
        <v>37</v>
      </c>
      <c r="Q5" t="s">
        <v>36</v>
      </c>
      <c r="R5" t="s">
        <v>35</v>
      </c>
      <c r="S5" t="s">
        <v>37</v>
      </c>
      <c r="U5" t="s">
        <v>36</v>
      </c>
      <c r="V5" t="s">
        <v>35</v>
      </c>
      <c r="W5" t="s">
        <v>37</v>
      </c>
      <c r="AA5" t="s">
        <v>36</v>
      </c>
      <c r="AB5" t="s">
        <v>35</v>
      </c>
      <c r="AC5" t="s">
        <v>37</v>
      </c>
    </row>
    <row r="6" spans="1:30" x14ac:dyDescent="0.4">
      <c r="A6" s="7" t="s">
        <v>104</v>
      </c>
      <c r="B6" s="3"/>
      <c r="C6" s="7" t="s">
        <v>60</v>
      </c>
      <c r="E6" s="7" t="s">
        <v>104</v>
      </c>
      <c r="F6" s="3"/>
      <c r="G6" s="7" t="s">
        <v>43</v>
      </c>
      <c r="I6" s="7" t="s">
        <v>104</v>
      </c>
      <c r="J6" s="3"/>
      <c r="K6" s="7" t="s">
        <v>118</v>
      </c>
      <c r="M6" s="7" t="s">
        <v>104</v>
      </c>
      <c r="N6" s="3"/>
      <c r="O6" s="7" t="s">
        <v>43</v>
      </c>
      <c r="Q6" s="7" t="s">
        <v>104</v>
      </c>
      <c r="R6" s="3"/>
      <c r="S6" s="7" t="s">
        <v>43</v>
      </c>
      <c r="U6" s="7" t="s">
        <v>104</v>
      </c>
      <c r="V6" s="3"/>
      <c r="W6" s="7" t="s">
        <v>43</v>
      </c>
      <c r="AA6" s="7" t="s">
        <v>104</v>
      </c>
      <c r="AB6" s="3"/>
      <c r="AC6" s="7" t="s">
        <v>43</v>
      </c>
    </row>
    <row r="7" spans="1:30" x14ac:dyDescent="0.4">
      <c r="A7" s="7" t="s">
        <v>105</v>
      </c>
      <c r="B7" s="3" t="s">
        <v>61</v>
      </c>
      <c r="C7" s="7" t="s">
        <v>62</v>
      </c>
      <c r="E7" s="7" t="s">
        <v>105</v>
      </c>
      <c r="F7" s="3" t="s">
        <v>51</v>
      </c>
      <c r="G7" s="7" t="s">
        <v>44</v>
      </c>
      <c r="I7" t="s">
        <v>88</v>
      </c>
      <c r="K7" t="s">
        <v>117</v>
      </c>
      <c r="M7" s="7" t="s">
        <v>105</v>
      </c>
      <c r="N7" s="3" t="s">
        <v>51</v>
      </c>
      <c r="O7" s="7" t="s">
        <v>44</v>
      </c>
      <c r="Q7" s="7" t="s">
        <v>105</v>
      </c>
      <c r="R7" s="3" t="s">
        <v>51</v>
      </c>
      <c r="S7" s="7" t="s">
        <v>44</v>
      </c>
      <c r="U7" s="7" t="s">
        <v>105</v>
      </c>
      <c r="V7" s="3" t="s">
        <v>335</v>
      </c>
      <c r="W7" s="7" t="s">
        <v>44</v>
      </c>
      <c r="AA7" s="7" t="s">
        <v>105</v>
      </c>
      <c r="AB7" s="3" t="s">
        <v>51</v>
      </c>
      <c r="AC7" s="7" t="s">
        <v>44</v>
      </c>
    </row>
    <row r="8" spans="1:30" x14ac:dyDescent="0.4">
      <c r="A8" t="s">
        <v>106</v>
      </c>
      <c r="B8" s="4"/>
      <c r="C8" t="s">
        <v>63</v>
      </c>
      <c r="E8" t="s">
        <v>106</v>
      </c>
      <c r="F8" s="4">
        <v>0</v>
      </c>
      <c r="G8" t="s">
        <v>45</v>
      </c>
      <c r="I8" t="s">
        <v>88</v>
      </c>
      <c r="M8" t="s">
        <v>106</v>
      </c>
      <c r="N8" s="4">
        <v>0</v>
      </c>
      <c r="O8" t="s">
        <v>45</v>
      </c>
      <c r="Q8" t="s">
        <v>106</v>
      </c>
      <c r="R8" s="4"/>
      <c r="S8" t="s">
        <v>45</v>
      </c>
      <c r="U8" t="s">
        <v>106</v>
      </c>
      <c r="V8" s="3"/>
      <c r="W8" t="s">
        <v>45</v>
      </c>
      <c r="AA8" t="s">
        <v>106</v>
      </c>
      <c r="AB8" s="3"/>
      <c r="AC8" t="s">
        <v>45</v>
      </c>
    </row>
    <row r="9" spans="1:30" x14ac:dyDescent="0.4">
      <c r="A9" t="s">
        <v>107</v>
      </c>
      <c r="B9" s="4"/>
      <c r="C9" t="s">
        <v>64</v>
      </c>
      <c r="E9" t="s">
        <v>107</v>
      </c>
      <c r="F9" s="4"/>
      <c r="G9" t="s">
        <v>46</v>
      </c>
      <c r="I9" t="s">
        <v>88</v>
      </c>
      <c r="M9" t="s">
        <v>107</v>
      </c>
      <c r="N9" s="4"/>
      <c r="O9" t="s">
        <v>46</v>
      </c>
      <c r="Q9" t="s">
        <v>107</v>
      </c>
      <c r="R9" s="4"/>
      <c r="S9" t="s">
        <v>46</v>
      </c>
      <c r="U9" t="s">
        <v>107</v>
      </c>
      <c r="V9" s="3"/>
      <c r="W9" t="s">
        <v>46</v>
      </c>
      <c r="AA9" t="s">
        <v>107</v>
      </c>
      <c r="AB9" s="3"/>
      <c r="AC9" t="s">
        <v>46</v>
      </c>
    </row>
    <row r="10" spans="1:30" x14ac:dyDescent="0.4">
      <c r="A10" t="s">
        <v>108</v>
      </c>
      <c r="B10" s="4"/>
      <c r="E10" t="s">
        <v>108</v>
      </c>
      <c r="F10" s="4"/>
      <c r="I10" t="s">
        <v>88</v>
      </c>
      <c r="M10" t="s">
        <v>108</v>
      </c>
      <c r="N10" s="4"/>
      <c r="Q10" t="s">
        <v>108</v>
      </c>
      <c r="R10" s="4"/>
      <c r="U10" t="s">
        <v>108</v>
      </c>
      <c r="V10" s="3"/>
      <c r="AA10" t="s">
        <v>108</v>
      </c>
      <c r="AB10" s="3"/>
    </row>
    <row r="11" spans="1:30" x14ac:dyDescent="0.4">
      <c r="B11" t="s">
        <v>120</v>
      </c>
      <c r="F11" t="s">
        <v>120</v>
      </c>
      <c r="I11" t="s">
        <v>88</v>
      </c>
      <c r="N11" t="s">
        <v>120</v>
      </c>
      <c r="R11" t="s">
        <v>120</v>
      </c>
    </row>
    <row r="12" spans="1:30" x14ac:dyDescent="0.4">
      <c r="N12" t="s">
        <v>119</v>
      </c>
      <c r="R12" t="s">
        <v>119</v>
      </c>
    </row>
    <row r="13" spans="1:30" s="12" customFormat="1" x14ac:dyDescent="0.4">
      <c r="I13"/>
      <c r="J13"/>
      <c r="K13"/>
      <c r="U13" t="s">
        <v>129</v>
      </c>
      <c r="V13" t="s">
        <v>121</v>
      </c>
      <c r="W13" t="s">
        <v>122</v>
      </c>
      <c r="X13" t="s">
        <v>123</v>
      </c>
      <c r="AA13" t="s">
        <v>129</v>
      </c>
      <c r="AB13" t="s">
        <v>121</v>
      </c>
      <c r="AC13" t="s">
        <v>122</v>
      </c>
      <c r="AD13" t="s">
        <v>123</v>
      </c>
    </row>
    <row r="14" spans="1:30" ht="37.5" x14ac:dyDescent="0.4">
      <c r="A14" t="s">
        <v>52</v>
      </c>
      <c r="E14" t="s">
        <v>52</v>
      </c>
      <c r="I14" t="s">
        <v>58</v>
      </c>
      <c r="M14" t="s">
        <v>52</v>
      </c>
      <c r="Q14" t="s">
        <v>52</v>
      </c>
      <c r="V14" s="10" t="s">
        <v>124</v>
      </c>
      <c r="W14" t="s">
        <v>125</v>
      </c>
      <c r="X14" t="s">
        <v>126</v>
      </c>
      <c r="AB14" s="10" t="s">
        <v>124</v>
      </c>
      <c r="AC14" t="s">
        <v>125</v>
      </c>
      <c r="AD14" t="s">
        <v>126</v>
      </c>
    </row>
    <row r="15" spans="1:30" x14ac:dyDescent="0.4">
      <c r="U15" s="12"/>
      <c r="V15" s="17">
        <v>202512060000029</v>
      </c>
      <c r="W15" s="18">
        <v>1</v>
      </c>
      <c r="X15" s="18">
        <v>100</v>
      </c>
      <c r="AA15" s="12"/>
      <c r="AB15" s="17">
        <v>202512130000001</v>
      </c>
      <c r="AC15" s="18">
        <v>3</v>
      </c>
      <c r="AD15" s="18">
        <v>100</v>
      </c>
    </row>
    <row r="16" spans="1:30" x14ac:dyDescent="0.4">
      <c r="B16" t="s">
        <v>365</v>
      </c>
      <c r="F16" t="s">
        <v>365</v>
      </c>
      <c r="J16" t="s">
        <v>365</v>
      </c>
      <c r="N16" t="s">
        <v>365</v>
      </c>
      <c r="R16" t="s">
        <v>365</v>
      </c>
      <c r="V16" s="17">
        <v>202512060000024</v>
      </c>
      <c r="W16" s="18">
        <v>2</v>
      </c>
      <c r="X16" s="18">
        <v>100</v>
      </c>
      <c r="AB16" s="17">
        <v>202512130000007</v>
      </c>
      <c r="AC16" s="18">
        <v>2</v>
      </c>
      <c r="AD16" s="18">
        <v>100</v>
      </c>
    </row>
    <row r="17" spans="1:30" x14ac:dyDescent="0.4">
      <c r="A17" t="s">
        <v>359</v>
      </c>
      <c r="B17" s="8">
        <v>2</v>
      </c>
      <c r="E17" t="s">
        <v>423</v>
      </c>
      <c r="F17" s="8">
        <v>30</v>
      </c>
      <c r="H17" s="7"/>
      <c r="I17" t="s">
        <v>449</v>
      </c>
      <c r="J17" s="8">
        <v>63</v>
      </c>
      <c r="L17" s="7"/>
      <c r="M17" t="s">
        <v>359</v>
      </c>
      <c r="N17" s="8">
        <v>33</v>
      </c>
      <c r="Q17" t="s">
        <v>426</v>
      </c>
      <c r="R17" s="8">
        <v>25</v>
      </c>
      <c r="V17" s="17"/>
      <c r="W17" s="18"/>
      <c r="X17" s="18"/>
      <c r="AB17" s="17">
        <v>202512130000005</v>
      </c>
      <c r="AC17" s="18">
        <v>1</v>
      </c>
      <c r="AD17" s="18">
        <v>100</v>
      </c>
    </row>
    <row r="18" spans="1:30" x14ac:dyDescent="0.4">
      <c r="A18" t="s">
        <v>402</v>
      </c>
      <c r="B18" s="8" t="s">
        <v>578</v>
      </c>
      <c r="E18" t="s">
        <v>379</v>
      </c>
      <c r="F18" s="8" t="s">
        <v>434</v>
      </c>
      <c r="H18" s="7"/>
      <c r="I18" t="s">
        <v>450</v>
      </c>
      <c r="J18" s="13" t="s">
        <v>448</v>
      </c>
      <c r="L18" s="7"/>
      <c r="M18" t="s">
        <v>438</v>
      </c>
      <c r="N18" s="8" t="s">
        <v>437</v>
      </c>
      <c r="Q18" t="s">
        <v>427</v>
      </c>
      <c r="R18" s="8" t="s">
        <v>424</v>
      </c>
      <c r="V18" s="17"/>
      <c r="W18" s="18"/>
      <c r="X18" s="18"/>
      <c r="AB18" s="17"/>
      <c r="AC18" s="18"/>
      <c r="AD18" s="18"/>
    </row>
    <row r="19" spans="1:30" x14ac:dyDescent="0.4">
      <c r="A19" t="s">
        <v>369</v>
      </c>
      <c r="B19" s="8" t="s">
        <v>70</v>
      </c>
      <c r="E19" t="s">
        <v>369</v>
      </c>
      <c r="F19" s="8" t="s">
        <v>70</v>
      </c>
      <c r="I19" t="s">
        <v>369</v>
      </c>
      <c r="J19" s="14" t="s">
        <v>127</v>
      </c>
      <c r="M19" t="s">
        <v>439</v>
      </c>
      <c r="N19" s="8" t="s">
        <v>70</v>
      </c>
      <c r="Q19" t="s">
        <v>428</v>
      </c>
      <c r="R19" s="8" t="s">
        <v>70</v>
      </c>
      <c r="V19" s="17"/>
      <c r="W19" s="18"/>
      <c r="X19" s="18"/>
      <c r="AB19" s="17"/>
      <c r="AC19" s="18"/>
      <c r="AD19" s="18"/>
    </row>
    <row r="20" spans="1:30" ht="33" x14ac:dyDescent="0.4">
      <c r="A20" t="s">
        <v>370</v>
      </c>
      <c r="B20" s="8">
        <v>0</v>
      </c>
      <c r="E20" t="s">
        <v>370</v>
      </c>
      <c r="F20" s="8">
        <v>0</v>
      </c>
      <c r="I20" t="s">
        <v>370</v>
      </c>
      <c r="J20" s="14">
        <v>0</v>
      </c>
      <c r="M20" t="s">
        <v>370</v>
      </c>
      <c r="N20" s="8">
        <v>0</v>
      </c>
      <c r="Q20" t="s">
        <v>370</v>
      </c>
      <c r="R20" s="8">
        <v>0</v>
      </c>
      <c r="V20" s="19"/>
      <c r="W20" s="20" t="s">
        <v>171</v>
      </c>
      <c r="X20" s="20"/>
      <c r="AB20" s="19" t="s">
        <v>128</v>
      </c>
      <c r="AC20" s="20" t="s">
        <v>171</v>
      </c>
      <c r="AD20" s="20"/>
    </row>
    <row r="21" spans="1:30" x14ac:dyDescent="0.4">
      <c r="A21" t="s">
        <v>364</v>
      </c>
      <c r="B21" s="8"/>
      <c r="E21" t="s">
        <v>435</v>
      </c>
      <c r="F21" s="8"/>
      <c r="I21" t="s">
        <v>364</v>
      </c>
      <c r="J21" s="8"/>
      <c r="M21" t="s">
        <v>364</v>
      </c>
      <c r="N21" s="8"/>
      <c r="Q21" t="s">
        <v>429</v>
      </c>
      <c r="R21" s="8"/>
    </row>
    <row r="22" spans="1:30" x14ac:dyDescent="0.4">
      <c r="A22" t="s">
        <v>371</v>
      </c>
      <c r="B22" s="8">
        <v>0</v>
      </c>
      <c r="E22" t="s">
        <v>436</v>
      </c>
      <c r="F22" s="8">
        <v>0</v>
      </c>
      <c r="I22" t="s">
        <v>371</v>
      </c>
      <c r="J22" s="8">
        <v>0</v>
      </c>
      <c r="M22" t="s">
        <v>436</v>
      </c>
      <c r="N22" s="8">
        <v>0</v>
      </c>
      <c r="Q22" t="s">
        <v>371</v>
      </c>
      <c r="R22" s="8">
        <v>11491</v>
      </c>
    </row>
    <row r="23" spans="1:30" x14ac:dyDescent="0.4">
      <c r="A23" t="s">
        <v>372</v>
      </c>
      <c r="B23" s="8"/>
      <c r="E23" t="s">
        <v>372</v>
      </c>
      <c r="F23" s="8"/>
      <c r="I23" t="s">
        <v>372</v>
      </c>
      <c r="J23" s="8"/>
      <c r="M23" t="s">
        <v>372</v>
      </c>
      <c r="N23" s="8"/>
      <c r="Q23" t="s">
        <v>38</v>
      </c>
      <c r="R23" s="8" t="s">
        <v>425</v>
      </c>
    </row>
    <row r="26" spans="1:30" x14ac:dyDescent="0.4">
      <c r="V26" t="s">
        <v>365</v>
      </c>
      <c r="AB26" t="s">
        <v>365</v>
      </c>
    </row>
    <row r="27" spans="1:30" x14ac:dyDescent="0.4">
      <c r="U27" t="s">
        <v>385</v>
      </c>
      <c r="V27" s="8">
        <v>3</v>
      </c>
      <c r="AA27" t="s">
        <v>401</v>
      </c>
      <c r="AB27" s="8">
        <v>17</v>
      </c>
    </row>
    <row r="28" spans="1:30" x14ac:dyDescent="0.4">
      <c r="U28" t="s">
        <v>379</v>
      </c>
      <c r="V28" s="8" t="s">
        <v>392</v>
      </c>
      <c r="AA28" t="s">
        <v>402</v>
      </c>
      <c r="AB28" s="8" t="s">
        <v>400</v>
      </c>
    </row>
    <row r="29" spans="1:30" x14ac:dyDescent="0.4">
      <c r="U29" t="s">
        <v>386</v>
      </c>
      <c r="V29" s="8" t="s">
        <v>70</v>
      </c>
      <c r="AA29" t="s">
        <v>369</v>
      </c>
      <c r="AB29" s="8" t="s">
        <v>70</v>
      </c>
    </row>
    <row r="30" spans="1:30" x14ac:dyDescent="0.4">
      <c r="U30" t="s">
        <v>389</v>
      </c>
      <c r="V30" s="8">
        <v>0</v>
      </c>
      <c r="AA30" t="s">
        <v>403</v>
      </c>
      <c r="AB30" s="8">
        <v>0</v>
      </c>
    </row>
    <row r="31" spans="1:30" x14ac:dyDescent="0.4">
      <c r="U31" t="s">
        <v>390</v>
      </c>
      <c r="V31" s="8"/>
      <c r="AA31" t="s">
        <v>364</v>
      </c>
      <c r="AB31" s="8"/>
    </row>
    <row r="32" spans="1:30" x14ac:dyDescent="0.4">
      <c r="U32" t="s">
        <v>387</v>
      </c>
      <c r="V32" s="8">
        <v>0</v>
      </c>
      <c r="AA32" t="s">
        <v>371</v>
      </c>
      <c r="AB32">
        <v>0</v>
      </c>
    </row>
    <row r="33" spans="21:27" x14ac:dyDescent="0.4">
      <c r="U33" t="s">
        <v>391</v>
      </c>
      <c r="V33" s="8"/>
      <c r="AA33" t="s">
        <v>372</v>
      </c>
    </row>
    <row r="34" spans="21:27" x14ac:dyDescent="0.4">
      <c r="U34" t="s">
        <v>388</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71</v>
      </c>
      <c r="B1" s="16" t="s">
        <v>383</v>
      </c>
      <c r="F1" s="16" t="s">
        <v>382</v>
      </c>
      <c r="J1" s="16" t="s">
        <v>381</v>
      </c>
    </row>
    <row r="2" spans="1:13" x14ac:dyDescent="0.4">
      <c r="A2" s="11" t="s">
        <v>72</v>
      </c>
      <c r="B2" s="12" t="s">
        <v>94</v>
      </c>
      <c r="C2" s="12"/>
      <c r="D2" s="12"/>
      <c r="E2" s="12"/>
      <c r="F2" s="12" t="s">
        <v>95</v>
      </c>
      <c r="I2" s="12"/>
      <c r="J2" s="12" t="s">
        <v>159</v>
      </c>
      <c r="K2" s="12"/>
      <c r="L2" s="12"/>
      <c r="M2" s="11"/>
    </row>
    <row r="3" spans="1:13" ht="40.5" customHeight="1" x14ac:dyDescent="0.4"/>
    <row r="4" spans="1:13" x14ac:dyDescent="0.4">
      <c r="A4" s="9" t="s">
        <v>56</v>
      </c>
      <c r="E4" s="9" t="s">
        <v>59</v>
      </c>
      <c r="I4" s="9" t="s">
        <v>54</v>
      </c>
    </row>
    <row r="5" spans="1:13" x14ac:dyDescent="0.4">
      <c r="A5" t="s">
        <v>36</v>
      </c>
      <c r="B5" t="s">
        <v>35</v>
      </c>
      <c r="C5" t="s">
        <v>37</v>
      </c>
      <c r="F5" t="s">
        <v>101</v>
      </c>
      <c r="I5" t="s">
        <v>36</v>
      </c>
      <c r="J5" t="s">
        <v>67</v>
      </c>
      <c r="K5" t="s">
        <v>37</v>
      </c>
      <c r="M5" t="s">
        <v>57</v>
      </c>
    </row>
    <row r="6" spans="1:13" x14ac:dyDescent="0.4">
      <c r="A6" s="7" t="s">
        <v>609</v>
      </c>
      <c r="B6" s="3"/>
      <c r="C6" t="s">
        <v>610</v>
      </c>
      <c r="I6" s="7" t="s">
        <v>75</v>
      </c>
      <c r="J6" s="3"/>
      <c r="K6" t="s">
        <v>82</v>
      </c>
      <c r="M6" t="s">
        <v>57</v>
      </c>
    </row>
    <row r="7" spans="1:13" x14ac:dyDescent="0.4">
      <c r="A7" s="7" t="s">
        <v>611</v>
      </c>
      <c r="B7" s="3"/>
      <c r="C7" t="s">
        <v>612</v>
      </c>
      <c r="I7" s="7" t="s">
        <v>76</v>
      </c>
      <c r="J7" s="3"/>
      <c r="K7" t="s">
        <v>81</v>
      </c>
      <c r="M7" t="s">
        <v>57</v>
      </c>
    </row>
    <row r="8" spans="1:13" x14ac:dyDescent="0.4">
      <c r="B8" s="11" t="s">
        <v>55</v>
      </c>
      <c r="I8" t="s">
        <v>77</v>
      </c>
      <c r="J8" s="4" t="s">
        <v>84</v>
      </c>
      <c r="K8" t="s">
        <v>78</v>
      </c>
      <c r="M8" t="s">
        <v>57</v>
      </c>
    </row>
    <row r="9" spans="1:13" x14ac:dyDescent="0.4">
      <c r="B9" t="s">
        <v>99</v>
      </c>
      <c r="I9" t="s">
        <v>79</v>
      </c>
      <c r="J9" s="4"/>
      <c r="K9" t="s">
        <v>80</v>
      </c>
      <c r="M9" t="s">
        <v>57</v>
      </c>
    </row>
    <row r="10" spans="1:13" x14ac:dyDescent="0.4">
      <c r="I10" t="s">
        <v>83</v>
      </c>
      <c r="J10" s="4" t="s">
        <v>84</v>
      </c>
      <c r="K10" t="s">
        <v>87</v>
      </c>
      <c r="M10" t="s">
        <v>57</v>
      </c>
    </row>
    <row r="11" spans="1:13" x14ac:dyDescent="0.4">
      <c r="J11" s="11" t="s">
        <v>86</v>
      </c>
      <c r="M11" t="s">
        <v>57</v>
      </c>
    </row>
    <row r="12" spans="1:13" x14ac:dyDescent="0.4">
      <c r="J12" t="s">
        <v>179</v>
      </c>
    </row>
    <row r="13" spans="1:13" x14ac:dyDescent="0.4">
      <c r="J13" t="s">
        <v>100</v>
      </c>
    </row>
    <row r="16" spans="1:13" x14ac:dyDescent="0.4">
      <c r="B16" t="s">
        <v>365</v>
      </c>
      <c r="F16" t="s">
        <v>365</v>
      </c>
      <c r="J16" t="s">
        <v>365</v>
      </c>
    </row>
    <row r="17" spans="1:11" x14ac:dyDescent="0.4">
      <c r="A17" t="s">
        <v>359</v>
      </c>
      <c r="B17" s="8">
        <v>15</v>
      </c>
      <c r="E17" t="s">
        <v>406</v>
      </c>
      <c r="F17" s="8">
        <v>43</v>
      </c>
      <c r="I17" t="s">
        <v>359</v>
      </c>
      <c r="J17" s="8">
        <v>29</v>
      </c>
    </row>
    <row r="18" spans="1:11" x14ac:dyDescent="0.4">
      <c r="A18" t="s">
        <v>379</v>
      </c>
      <c r="B18" s="8" t="s">
        <v>421</v>
      </c>
      <c r="E18" t="s">
        <v>407</v>
      </c>
      <c r="F18" s="8" t="s">
        <v>405</v>
      </c>
      <c r="I18" t="s">
        <v>431</v>
      </c>
      <c r="J18" s="8" t="s">
        <v>430</v>
      </c>
    </row>
    <row r="19" spans="1:11" x14ac:dyDescent="0.4">
      <c r="A19" t="s">
        <v>419</v>
      </c>
      <c r="B19" s="8" t="s">
        <v>380</v>
      </c>
      <c r="E19" t="s">
        <v>408</v>
      </c>
      <c r="F19" s="8" t="s">
        <v>69</v>
      </c>
      <c r="I19" t="s">
        <v>369</v>
      </c>
      <c r="J19" s="8" t="s">
        <v>85</v>
      </c>
    </row>
    <row r="20" spans="1:11" x14ac:dyDescent="0.4">
      <c r="A20" t="s">
        <v>370</v>
      </c>
      <c r="B20" s="8">
        <v>0</v>
      </c>
      <c r="E20" t="s">
        <v>409</v>
      </c>
      <c r="F20" s="8">
        <v>0</v>
      </c>
      <c r="I20" t="s">
        <v>432</v>
      </c>
      <c r="J20" s="8">
        <v>0</v>
      </c>
      <c r="K20" t="s">
        <v>384</v>
      </c>
    </row>
    <row r="21" spans="1:11" x14ac:dyDescent="0.4">
      <c r="A21" t="s">
        <v>364</v>
      </c>
      <c r="B21" s="8"/>
      <c r="E21" t="s">
        <v>404</v>
      </c>
      <c r="F21" s="8"/>
      <c r="I21" t="s">
        <v>364</v>
      </c>
      <c r="J21" s="8"/>
    </row>
    <row r="22" spans="1:11" x14ac:dyDescent="0.4">
      <c r="A22" t="s">
        <v>422</v>
      </c>
      <c r="B22" s="8">
        <v>0</v>
      </c>
      <c r="E22" t="s">
        <v>410</v>
      </c>
      <c r="F22" s="8">
        <v>0</v>
      </c>
      <c r="I22" t="s">
        <v>433</v>
      </c>
      <c r="J22" s="8">
        <v>0</v>
      </c>
    </row>
    <row r="23" spans="1:11" x14ac:dyDescent="0.4">
      <c r="A23" t="s">
        <v>418</v>
      </c>
      <c r="E23" t="s">
        <v>411</v>
      </c>
      <c r="I23" t="s">
        <v>372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71</v>
      </c>
      <c r="B1" s="11" t="s">
        <v>328</v>
      </c>
      <c r="C1" s="11"/>
      <c r="D1" s="11"/>
      <c r="E1" s="11"/>
      <c r="F1" s="11" t="s">
        <v>327</v>
      </c>
    </row>
    <row r="2" spans="1:24" ht="19.5" thickBot="1" x14ac:dyDescent="0.45">
      <c r="A2" s="11" t="s">
        <v>72</v>
      </c>
      <c r="B2" s="11"/>
      <c r="C2" s="11"/>
      <c r="D2" s="11"/>
      <c r="E2" s="11"/>
      <c r="F2" s="15" t="s">
        <v>162</v>
      </c>
      <c r="O2" t="s">
        <v>326</v>
      </c>
      <c r="Q2" s="34" t="s">
        <v>334</v>
      </c>
      <c r="R2" s="35" t="s">
        <v>333</v>
      </c>
    </row>
    <row r="3" spans="1:24" ht="49.5" customHeight="1" thickTop="1" x14ac:dyDescent="0.4">
      <c r="H3" s="25" t="s">
        <v>321</v>
      </c>
      <c r="I3" s="26" t="s">
        <v>325</v>
      </c>
      <c r="J3" s="26" t="s">
        <v>323</v>
      </c>
      <c r="K3" s="26" t="s">
        <v>322</v>
      </c>
      <c r="L3" s="27" t="s">
        <v>324</v>
      </c>
      <c r="N3" t="s">
        <v>180</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336</v>
      </c>
      <c r="F4" s="36" t="s">
        <v>337</v>
      </c>
      <c r="H4" s="28">
        <v>1</v>
      </c>
      <c r="I4" s="29" t="s">
        <v>229</v>
      </c>
      <c r="J4" s="29" t="s">
        <v>230</v>
      </c>
      <c r="K4" s="29" t="str">
        <f>MID(I4,2,LEN(I4)-1)</f>
        <v>AAV</v>
      </c>
      <c r="L4" s="30" t="str">
        <f>LEFT(I4,1)</f>
        <v>p</v>
      </c>
      <c r="N4" s="4">
        <v>1332</v>
      </c>
    </row>
    <row r="5" spans="1:24" x14ac:dyDescent="0.4">
      <c r="A5" t="s">
        <v>36</v>
      </c>
      <c r="B5" t="s">
        <v>67</v>
      </c>
      <c r="C5" t="s">
        <v>37</v>
      </c>
      <c r="H5" s="28">
        <v>2</v>
      </c>
      <c r="I5" s="29" t="s">
        <v>231</v>
      </c>
      <c r="J5" s="29" t="s">
        <v>232</v>
      </c>
      <c r="K5" s="29" t="str">
        <f t="shared" ref="K5:K68" si="0">MID(I5,2,LEN(I5)-1)</f>
        <v>ABV</v>
      </c>
      <c r="L5" s="30" t="str">
        <f t="shared" ref="L5:L68" si="1">LEFT(I5,1)</f>
        <v>p</v>
      </c>
      <c r="N5" s="4">
        <v>1333</v>
      </c>
      <c r="P5" s="37" t="s">
        <v>340</v>
      </c>
    </row>
    <row r="6" spans="1:24" x14ac:dyDescent="0.4">
      <c r="A6" s="7" t="s">
        <v>329</v>
      </c>
      <c r="B6" s="3"/>
      <c r="C6" s="7" t="s">
        <v>331</v>
      </c>
      <c r="H6" s="28">
        <v>3</v>
      </c>
      <c r="I6" s="29" t="s">
        <v>187</v>
      </c>
      <c r="J6" s="29" t="s">
        <v>215</v>
      </c>
      <c r="K6" s="29" t="str">
        <f t="shared" si="0"/>
        <v>AV</v>
      </c>
      <c r="L6" s="30" t="str">
        <f t="shared" si="1"/>
        <v>p</v>
      </c>
      <c r="N6" s="4">
        <v>1605</v>
      </c>
      <c r="P6" s="36" t="s">
        <v>343</v>
      </c>
    </row>
    <row r="7" spans="1:24" x14ac:dyDescent="0.4">
      <c r="A7" s="7" t="s">
        <v>330</v>
      </c>
      <c r="B7" s="3" t="s">
        <v>51</v>
      </c>
      <c r="C7" s="7" t="s">
        <v>44</v>
      </c>
      <c r="H7" s="28">
        <v>4</v>
      </c>
      <c r="I7" s="29" t="s">
        <v>190</v>
      </c>
      <c r="J7" s="29" t="s">
        <v>218</v>
      </c>
      <c r="K7" s="29" t="str">
        <f t="shared" si="0"/>
        <v>BV</v>
      </c>
      <c r="L7" s="30" t="str">
        <f t="shared" si="1"/>
        <v>p</v>
      </c>
      <c r="N7" s="4">
        <v>1721</v>
      </c>
      <c r="P7" s="36" t="s">
        <v>341</v>
      </c>
      <c r="U7" s="24"/>
    </row>
    <row r="8" spans="1:24" x14ac:dyDescent="0.4">
      <c r="H8" s="28">
        <v>5</v>
      </c>
      <c r="I8" s="29" t="s">
        <v>221</v>
      </c>
      <c r="J8" s="29" t="s">
        <v>222</v>
      </c>
      <c r="K8" s="29" t="str">
        <f t="shared" si="0"/>
        <v>DCFS</v>
      </c>
      <c r="L8" s="30" t="str">
        <f t="shared" si="1"/>
        <v>x</v>
      </c>
      <c r="N8" s="4">
        <v>1801</v>
      </c>
    </row>
    <row r="9" spans="1:24" x14ac:dyDescent="0.4">
      <c r="H9" s="28">
        <v>6</v>
      </c>
      <c r="I9" s="29" t="s">
        <v>223</v>
      </c>
      <c r="J9" s="29" t="s">
        <v>224</v>
      </c>
      <c r="K9" s="29" t="str">
        <f t="shared" si="0"/>
        <v>DHF</v>
      </c>
      <c r="L9" s="30" t="str">
        <f t="shared" si="1"/>
        <v>p</v>
      </c>
      <c r="N9" s="4">
        <v>1802</v>
      </c>
      <c r="O9" s="38" t="s">
        <v>338</v>
      </c>
      <c r="P9" s="36" t="s">
        <v>342</v>
      </c>
    </row>
    <row r="10" spans="1:24" x14ac:dyDescent="0.4">
      <c r="H10" s="28">
        <v>7</v>
      </c>
      <c r="I10" s="29" t="s">
        <v>203</v>
      </c>
      <c r="J10" s="29" t="s">
        <v>204</v>
      </c>
      <c r="K10" s="29" t="str">
        <f t="shared" si="0"/>
        <v>DHP</v>
      </c>
      <c r="L10" s="30" t="str">
        <f t="shared" si="1"/>
        <v>p</v>
      </c>
      <c r="N10" s="4">
        <v>1803</v>
      </c>
      <c r="P10" s="36" t="s">
        <v>339</v>
      </c>
    </row>
    <row r="11" spans="1:24" x14ac:dyDescent="0.4">
      <c r="H11" s="28">
        <v>8</v>
      </c>
      <c r="I11" s="29" t="s">
        <v>205</v>
      </c>
      <c r="J11" s="29" t="s">
        <v>206</v>
      </c>
      <c r="K11" s="29" t="str">
        <f t="shared" si="0"/>
        <v>DHP:T</v>
      </c>
      <c r="L11" s="30" t="str">
        <f t="shared" si="1"/>
        <v>t</v>
      </c>
      <c r="N11" s="4">
        <v>1808</v>
      </c>
    </row>
    <row r="12" spans="1:24" x14ac:dyDescent="0.4">
      <c r="H12" s="28">
        <v>9</v>
      </c>
      <c r="I12" s="29" t="s">
        <v>227</v>
      </c>
      <c r="J12" s="29" t="s">
        <v>228</v>
      </c>
      <c r="K12" s="29" t="str">
        <f t="shared" si="0"/>
        <v>DJ</v>
      </c>
      <c r="L12" s="30" t="str">
        <f t="shared" si="1"/>
        <v>p</v>
      </c>
      <c r="N12" s="4">
        <v>1812</v>
      </c>
    </row>
    <row r="13" spans="1:24" x14ac:dyDescent="0.4">
      <c r="H13" s="28">
        <v>10</v>
      </c>
      <c r="I13" s="29" t="s">
        <v>225</v>
      </c>
      <c r="J13" s="29" t="s">
        <v>226</v>
      </c>
      <c r="K13" s="29" t="str">
        <f t="shared" si="0"/>
        <v>DLF</v>
      </c>
      <c r="L13" s="30" t="str">
        <f t="shared" si="1"/>
        <v>p</v>
      </c>
      <c r="N13" s="4">
        <v>1925</v>
      </c>
      <c r="P13" s="36" t="s">
        <v>412</v>
      </c>
    </row>
    <row r="14" spans="1:24" x14ac:dyDescent="0.4">
      <c r="A14" t="s">
        <v>58</v>
      </c>
      <c r="H14" s="28">
        <v>11</v>
      </c>
      <c r="I14" s="29" t="s">
        <v>207</v>
      </c>
      <c r="J14" s="29" t="s">
        <v>208</v>
      </c>
      <c r="K14" s="29" t="str">
        <f t="shared" si="0"/>
        <v>DLP</v>
      </c>
      <c r="L14" s="30" t="str">
        <f t="shared" si="1"/>
        <v>p</v>
      </c>
      <c r="N14" s="4">
        <v>1928</v>
      </c>
    </row>
    <row r="15" spans="1:24" x14ac:dyDescent="0.4">
      <c r="A15" t="s">
        <v>66</v>
      </c>
      <c r="B15" t="b">
        <v>1</v>
      </c>
      <c r="E15" t="s">
        <v>66</v>
      </c>
      <c r="F15" t="b">
        <v>1</v>
      </c>
      <c r="H15" s="28">
        <v>12</v>
      </c>
      <c r="I15" s="29" t="s">
        <v>209</v>
      </c>
      <c r="J15" s="29" t="s">
        <v>210</v>
      </c>
      <c r="K15" s="29" t="str">
        <f t="shared" si="0"/>
        <v>DLP:T</v>
      </c>
      <c r="L15" s="30" t="str">
        <f t="shared" si="1"/>
        <v>t</v>
      </c>
      <c r="N15" s="4">
        <v>1963</v>
      </c>
    </row>
    <row r="16" spans="1:24" x14ac:dyDescent="0.4">
      <c r="A16" t="s">
        <v>65</v>
      </c>
      <c r="B16" t="s">
        <v>365</v>
      </c>
      <c r="E16" t="s">
        <v>65</v>
      </c>
      <c r="F16" t="s">
        <v>365</v>
      </c>
      <c r="H16" s="28">
        <v>13</v>
      </c>
      <c r="I16" s="29" t="s">
        <v>199</v>
      </c>
      <c r="J16" s="29" t="s">
        <v>200</v>
      </c>
      <c r="K16" s="29" t="str">
        <f t="shared" si="0"/>
        <v>DOP</v>
      </c>
      <c r="L16" s="30" t="str">
        <f t="shared" si="1"/>
        <v>p</v>
      </c>
      <c r="N16" s="4">
        <v>2002</v>
      </c>
    </row>
    <row r="17" spans="1:14" x14ac:dyDescent="0.4">
      <c r="A17" t="s">
        <v>359</v>
      </c>
      <c r="B17" s="8">
        <v>46</v>
      </c>
      <c r="E17" t="s">
        <v>620</v>
      </c>
      <c r="F17" s="8">
        <v>4</v>
      </c>
      <c r="H17" s="28">
        <v>14</v>
      </c>
      <c r="I17" s="29" t="s">
        <v>201</v>
      </c>
      <c r="J17" s="29" t="s">
        <v>202</v>
      </c>
      <c r="K17" s="29" t="str">
        <f t="shared" si="0"/>
        <v>DOP:T</v>
      </c>
      <c r="L17" s="30" t="str">
        <f t="shared" si="1"/>
        <v>t</v>
      </c>
      <c r="N17" s="4">
        <v>2269</v>
      </c>
    </row>
    <row r="18" spans="1:14" x14ac:dyDescent="0.4">
      <c r="A18" t="s">
        <v>379</v>
      </c>
      <c r="B18" s="13" t="s">
        <v>446</v>
      </c>
      <c r="E18" t="s">
        <v>621</v>
      </c>
      <c r="F18" s="13" t="s">
        <v>619</v>
      </c>
      <c r="H18" s="28">
        <v>15</v>
      </c>
      <c r="I18" s="29" t="s">
        <v>195</v>
      </c>
      <c r="J18" s="29" t="s">
        <v>196</v>
      </c>
      <c r="K18" s="29" t="str">
        <f t="shared" si="0"/>
        <v>DPG</v>
      </c>
      <c r="L18" s="30" t="str">
        <f t="shared" si="1"/>
        <v>p</v>
      </c>
      <c r="N18" s="4">
        <v>2282</v>
      </c>
    </row>
    <row r="19" spans="1:14" x14ac:dyDescent="0.4">
      <c r="A19" t="s">
        <v>369</v>
      </c>
      <c r="B19" s="14" t="s">
        <v>332</v>
      </c>
      <c r="E19" t="s">
        <v>369</v>
      </c>
      <c r="F19" s="14" t="s">
        <v>351</v>
      </c>
      <c r="H19" s="28">
        <v>16</v>
      </c>
      <c r="I19" s="29" t="s">
        <v>181</v>
      </c>
      <c r="J19" s="29" t="s">
        <v>193</v>
      </c>
      <c r="K19" s="29" t="str">
        <f t="shared" si="0"/>
        <v>DPP</v>
      </c>
      <c r="L19" s="30" t="str">
        <f t="shared" si="1"/>
        <v>p</v>
      </c>
      <c r="N19" s="4">
        <v>2413</v>
      </c>
    </row>
    <row r="20" spans="1:14" x14ac:dyDescent="0.4">
      <c r="A20" t="s">
        <v>447</v>
      </c>
      <c r="B20" s="14">
        <v>0</v>
      </c>
      <c r="E20" t="s">
        <v>370</v>
      </c>
      <c r="F20" s="14">
        <v>0</v>
      </c>
      <c r="H20" s="28">
        <v>17</v>
      </c>
      <c r="I20" s="29" t="s">
        <v>182</v>
      </c>
      <c r="J20" s="29" t="s">
        <v>194</v>
      </c>
      <c r="K20" s="29" t="str">
        <f t="shared" si="0"/>
        <v>DPP:T</v>
      </c>
      <c r="L20" s="30" t="str">
        <f t="shared" si="1"/>
        <v>t</v>
      </c>
      <c r="N20" s="4">
        <v>2432</v>
      </c>
    </row>
    <row r="21" spans="1:14" x14ac:dyDescent="0.4">
      <c r="A21" t="s">
        <v>364</v>
      </c>
      <c r="B21" s="14"/>
      <c r="E21" t="s">
        <v>622</v>
      </c>
      <c r="F21" s="14"/>
      <c r="H21" s="28">
        <v>18</v>
      </c>
      <c r="I21" s="29" t="s">
        <v>211</v>
      </c>
      <c r="J21" s="29" t="s">
        <v>212</v>
      </c>
      <c r="K21" s="29" t="str">
        <f t="shared" si="0"/>
        <v>DV</v>
      </c>
      <c r="L21" s="30" t="str">
        <f t="shared" si="1"/>
        <v>p</v>
      </c>
      <c r="N21" s="4">
        <v>2501</v>
      </c>
    </row>
    <row r="22" spans="1:14" x14ac:dyDescent="0.4">
      <c r="A22" t="s">
        <v>371</v>
      </c>
      <c r="B22" s="14"/>
      <c r="E22" t="s">
        <v>623</v>
      </c>
      <c r="F22" s="14"/>
      <c r="H22" s="28">
        <v>19</v>
      </c>
      <c r="I22" s="29" t="s">
        <v>219</v>
      </c>
      <c r="J22" s="29" t="s">
        <v>220</v>
      </c>
      <c r="K22" s="29" t="str">
        <f t="shared" si="0"/>
        <v>DVES</v>
      </c>
      <c r="L22" s="30" t="str">
        <f t="shared" si="1"/>
        <v>x</v>
      </c>
      <c r="N22" s="4">
        <v>2502</v>
      </c>
    </row>
    <row r="23" spans="1:14" x14ac:dyDescent="0.4">
      <c r="A23" t="s">
        <v>372</v>
      </c>
      <c r="B23" s="14"/>
      <c r="E23" t="s">
        <v>377</v>
      </c>
      <c r="F23" s="14"/>
      <c r="H23" s="28">
        <v>20</v>
      </c>
      <c r="I23" s="29" t="s">
        <v>184</v>
      </c>
      <c r="J23" s="29" t="s">
        <v>198</v>
      </c>
      <c r="K23" s="29" t="str">
        <f t="shared" si="0"/>
        <v>DYRP</v>
      </c>
      <c r="L23" s="30" t="str">
        <f t="shared" si="1"/>
        <v>p</v>
      </c>
      <c r="N23" s="4">
        <v>2503</v>
      </c>
    </row>
    <row r="24" spans="1:14" x14ac:dyDescent="0.4">
      <c r="H24" s="28">
        <v>21</v>
      </c>
      <c r="I24" s="29" t="s">
        <v>183</v>
      </c>
      <c r="J24" s="29" t="s">
        <v>197</v>
      </c>
      <c r="K24" s="29" t="str">
        <f t="shared" si="0"/>
        <v>DYWP</v>
      </c>
      <c r="L24" s="30" t="str">
        <f t="shared" si="1"/>
        <v>p</v>
      </c>
      <c r="N24" s="4">
        <v>2531</v>
      </c>
    </row>
    <row r="25" spans="1:14" x14ac:dyDescent="0.4">
      <c r="H25" s="28">
        <v>22</v>
      </c>
      <c r="I25" s="29" t="s">
        <v>235</v>
      </c>
      <c r="J25" s="29" t="s">
        <v>236</v>
      </c>
      <c r="K25" s="29" t="str">
        <f t="shared" si="0"/>
        <v>GAV10</v>
      </c>
      <c r="L25" s="30" t="str">
        <f t="shared" si="1"/>
        <v>p</v>
      </c>
      <c r="N25" s="4">
        <v>2768</v>
      </c>
    </row>
    <row r="26" spans="1:14" x14ac:dyDescent="0.4">
      <c r="H26" s="28">
        <v>23</v>
      </c>
      <c r="I26" s="29" t="s">
        <v>237</v>
      </c>
      <c r="J26" s="29" t="s">
        <v>238</v>
      </c>
      <c r="K26" s="29" t="str">
        <f t="shared" si="0"/>
        <v>GAP10</v>
      </c>
      <c r="L26" s="30" t="str">
        <f t="shared" si="1"/>
        <v>p</v>
      </c>
      <c r="N26" s="4">
        <v>2801</v>
      </c>
    </row>
    <row r="27" spans="1:14" x14ac:dyDescent="0.4">
      <c r="H27" s="28">
        <v>24</v>
      </c>
      <c r="I27" s="29" t="s">
        <v>239</v>
      </c>
      <c r="J27" s="29" t="s">
        <v>240</v>
      </c>
      <c r="K27" s="29" t="str">
        <f t="shared" si="0"/>
        <v>GAV9</v>
      </c>
      <c r="L27" s="30" t="str">
        <f t="shared" si="1"/>
        <v>p</v>
      </c>
      <c r="N27" s="4">
        <v>2802</v>
      </c>
    </row>
    <row r="28" spans="1:14" x14ac:dyDescent="0.4">
      <c r="H28" s="28">
        <v>25</v>
      </c>
      <c r="I28" s="29" t="s">
        <v>241</v>
      </c>
      <c r="J28" s="29" t="s">
        <v>242</v>
      </c>
      <c r="K28" s="29" t="str">
        <f t="shared" si="0"/>
        <v>GAP9</v>
      </c>
      <c r="L28" s="30" t="str">
        <f t="shared" si="1"/>
        <v>p</v>
      </c>
      <c r="N28" s="4">
        <v>2871</v>
      </c>
    </row>
    <row r="29" spans="1:14" x14ac:dyDescent="0.4">
      <c r="H29" s="28">
        <v>26</v>
      </c>
      <c r="I29" s="29" t="s">
        <v>243</v>
      </c>
      <c r="J29" s="29" t="s">
        <v>244</v>
      </c>
      <c r="K29" s="29" t="str">
        <f t="shared" si="0"/>
        <v>GAV8</v>
      </c>
      <c r="L29" s="30" t="str">
        <f t="shared" si="1"/>
        <v>p</v>
      </c>
      <c r="N29" s="4">
        <v>2914</v>
      </c>
    </row>
    <row r="30" spans="1:14" x14ac:dyDescent="0.4">
      <c r="H30" s="28">
        <v>27</v>
      </c>
      <c r="I30" s="29" t="s">
        <v>245</v>
      </c>
      <c r="J30" s="29" t="s">
        <v>246</v>
      </c>
      <c r="K30" s="29" t="str">
        <f t="shared" si="0"/>
        <v>GAP8</v>
      </c>
      <c r="L30" s="30" t="str">
        <f t="shared" si="1"/>
        <v>p</v>
      </c>
      <c r="N30" s="4">
        <v>3086</v>
      </c>
    </row>
    <row r="31" spans="1:14" x14ac:dyDescent="0.4">
      <c r="H31" s="28">
        <v>28</v>
      </c>
      <c r="I31" s="29" t="s">
        <v>247</v>
      </c>
      <c r="J31" s="29" t="s">
        <v>248</v>
      </c>
      <c r="K31" s="29" t="str">
        <f t="shared" si="0"/>
        <v>GAV7</v>
      </c>
      <c r="L31" s="30" t="str">
        <f t="shared" si="1"/>
        <v>p</v>
      </c>
      <c r="N31" s="4">
        <v>3099</v>
      </c>
    </row>
    <row r="32" spans="1:14" x14ac:dyDescent="0.4">
      <c r="H32" s="28">
        <v>29</v>
      </c>
      <c r="I32" s="29" t="s">
        <v>249</v>
      </c>
      <c r="J32" s="29" t="s">
        <v>250</v>
      </c>
      <c r="K32" s="29" t="str">
        <f t="shared" si="0"/>
        <v>GAP7</v>
      </c>
      <c r="L32" s="30" t="str">
        <f t="shared" si="1"/>
        <v>p</v>
      </c>
      <c r="N32" s="4">
        <v>3101</v>
      </c>
    </row>
    <row r="33" spans="8:14" x14ac:dyDescent="0.4">
      <c r="H33" s="28">
        <v>30</v>
      </c>
      <c r="I33" s="29" t="s">
        <v>251</v>
      </c>
      <c r="J33" s="29" t="s">
        <v>252</v>
      </c>
      <c r="K33" s="29" t="str">
        <f t="shared" si="0"/>
        <v>GAV6</v>
      </c>
      <c r="L33" s="30" t="str">
        <f t="shared" si="1"/>
        <v>p</v>
      </c>
      <c r="N33" s="4">
        <v>3103</v>
      </c>
    </row>
    <row r="34" spans="8:14" x14ac:dyDescent="0.4">
      <c r="H34" s="28">
        <v>31</v>
      </c>
      <c r="I34" s="29" t="s">
        <v>253</v>
      </c>
      <c r="J34" s="29" t="s">
        <v>254</v>
      </c>
      <c r="K34" s="29" t="str">
        <f t="shared" si="0"/>
        <v>GAP6</v>
      </c>
      <c r="L34" s="30" t="str">
        <f t="shared" si="1"/>
        <v>p</v>
      </c>
      <c r="N34" s="4">
        <v>3289</v>
      </c>
    </row>
    <row r="35" spans="8:14" x14ac:dyDescent="0.4">
      <c r="H35" s="28">
        <v>32</v>
      </c>
      <c r="I35" s="29" t="s">
        <v>255</v>
      </c>
      <c r="J35" s="29" t="s">
        <v>256</v>
      </c>
      <c r="K35" s="29" t="str">
        <f t="shared" si="0"/>
        <v>GAV5</v>
      </c>
      <c r="L35" s="30" t="str">
        <f t="shared" si="1"/>
        <v>p</v>
      </c>
      <c r="N35" s="4">
        <v>3382</v>
      </c>
    </row>
    <row r="36" spans="8:14" x14ac:dyDescent="0.4">
      <c r="H36" s="28">
        <v>33</v>
      </c>
      <c r="I36" s="29" t="s">
        <v>257</v>
      </c>
      <c r="J36" s="29" t="s">
        <v>258</v>
      </c>
      <c r="K36" s="29" t="str">
        <f t="shared" si="0"/>
        <v>GAP5</v>
      </c>
      <c r="L36" s="30" t="str">
        <f t="shared" si="1"/>
        <v>p</v>
      </c>
      <c r="N36" s="4">
        <v>3401</v>
      </c>
    </row>
    <row r="37" spans="8:14" x14ac:dyDescent="0.4">
      <c r="H37" s="28">
        <v>34</v>
      </c>
      <c r="I37" s="29" t="s">
        <v>259</v>
      </c>
      <c r="J37" s="29" t="s">
        <v>260</v>
      </c>
      <c r="K37" s="29" t="str">
        <f t="shared" si="0"/>
        <v>GAV4</v>
      </c>
      <c r="L37" s="30" t="str">
        <f t="shared" si="1"/>
        <v>p</v>
      </c>
      <c r="N37" s="4">
        <v>3402</v>
      </c>
    </row>
    <row r="38" spans="8:14" x14ac:dyDescent="0.4">
      <c r="H38" s="28">
        <v>35</v>
      </c>
      <c r="I38" s="29" t="s">
        <v>261</v>
      </c>
      <c r="J38" s="29" t="s">
        <v>262</v>
      </c>
      <c r="K38" s="29" t="str">
        <f t="shared" si="0"/>
        <v>GAP4</v>
      </c>
      <c r="L38" s="30" t="str">
        <f t="shared" si="1"/>
        <v>p</v>
      </c>
      <c r="N38" s="4">
        <v>3405</v>
      </c>
    </row>
    <row r="39" spans="8:14" x14ac:dyDescent="0.4">
      <c r="H39" s="28">
        <v>36</v>
      </c>
      <c r="I39" s="29" t="s">
        <v>263</v>
      </c>
      <c r="J39" s="29" t="s">
        <v>264</v>
      </c>
      <c r="K39" s="29" t="str">
        <f t="shared" si="0"/>
        <v>GAV3</v>
      </c>
      <c r="L39" s="30" t="str">
        <f t="shared" si="1"/>
        <v>p</v>
      </c>
      <c r="N39" s="4">
        <v>3407</v>
      </c>
    </row>
    <row r="40" spans="8:14" x14ac:dyDescent="0.4">
      <c r="H40" s="28">
        <v>37</v>
      </c>
      <c r="I40" s="29" t="s">
        <v>265</v>
      </c>
      <c r="J40" s="29" t="s">
        <v>266</v>
      </c>
      <c r="K40" s="29" t="str">
        <f t="shared" si="0"/>
        <v>GAP3</v>
      </c>
      <c r="L40" s="30" t="str">
        <f t="shared" si="1"/>
        <v>p</v>
      </c>
      <c r="N40" s="4">
        <v>3436</v>
      </c>
    </row>
    <row r="41" spans="8:14" x14ac:dyDescent="0.4">
      <c r="H41" s="28">
        <v>38</v>
      </c>
      <c r="I41" s="29" t="s">
        <v>267</v>
      </c>
      <c r="J41" s="29" t="s">
        <v>268</v>
      </c>
      <c r="K41" s="29" t="str">
        <f t="shared" si="0"/>
        <v>GAV2</v>
      </c>
      <c r="L41" s="30" t="str">
        <f t="shared" si="1"/>
        <v>p</v>
      </c>
      <c r="N41" s="4">
        <v>3659</v>
      </c>
    </row>
    <row r="42" spans="8:14" x14ac:dyDescent="0.4">
      <c r="H42" s="28">
        <v>39</v>
      </c>
      <c r="I42" s="29" t="s">
        <v>269</v>
      </c>
      <c r="J42" s="29" t="s">
        <v>270</v>
      </c>
      <c r="K42" s="29" t="str">
        <f t="shared" si="0"/>
        <v>GAP2</v>
      </c>
      <c r="L42" s="30" t="str">
        <f t="shared" si="1"/>
        <v>p</v>
      </c>
      <c r="N42" s="4">
        <v>3861</v>
      </c>
    </row>
    <row r="43" spans="8:14" x14ac:dyDescent="0.4">
      <c r="H43" s="28">
        <v>40</v>
      </c>
      <c r="I43" s="29" t="s">
        <v>271</v>
      </c>
      <c r="J43" s="29" t="s">
        <v>272</v>
      </c>
      <c r="K43" s="29" t="str">
        <f t="shared" si="0"/>
        <v>GAV1</v>
      </c>
      <c r="L43" s="30" t="str">
        <f t="shared" si="1"/>
        <v>p</v>
      </c>
      <c r="N43" s="4">
        <v>3863</v>
      </c>
    </row>
    <row r="44" spans="8:14" x14ac:dyDescent="0.4">
      <c r="H44" s="28">
        <v>41</v>
      </c>
      <c r="I44" s="29" t="s">
        <v>273</v>
      </c>
      <c r="J44" s="29" t="s">
        <v>274</v>
      </c>
      <c r="K44" s="29" t="str">
        <f t="shared" si="0"/>
        <v>GAP1</v>
      </c>
      <c r="L44" s="30" t="str">
        <f t="shared" si="1"/>
        <v>p</v>
      </c>
      <c r="N44" s="4">
        <v>4004</v>
      </c>
    </row>
    <row r="45" spans="8:14" x14ac:dyDescent="0.4">
      <c r="H45" s="28">
        <v>42</v>
      </c>
      <c r="I45" s="29" t="s">
        <v>275</v>
      </c>
      <c r="J45" s="29" t="s">
        <v>276</v>
      </c>
      <c r="K45" s="29" t="str">
        <f t="shared" si="0"/>
        <v>GBV1</v>
      </c>
      <c r="L45" s="30" t="str">
        <f t="shared" si="1"/>
        <v>p</v>
      </c>
      <c r="N45" s="4">
        <v>4005</v>
      </c>
    </row>
    <row r="46" spans="8:14" x14ac:dyDescent="0.4">
      <c r="H46" s="28">
        <v>43</v>
      </c>
      <c r="I46" s="29" t="s">
        <v>277</v>
      </c>
      <c r="J46" s="29" t="s">
        <v>278</v>
      </c>
      <c r="K46" s="29" t="str">
        <f t="shared" si="0"/>
        <v>GBP1</v>
      </c>
      <c r="L46" s="30" t="str">
        <f t="shared" si="1"/>
        <v>p</v>
      </c>
      <c r="N46" s="4">
        <v>4021</v>
      </c>
    </row>
    <row r="47" spans="8:14" x14ac:dyDescent="0.4">
      <c r="H47" s="28">
        <v>44</v>
      </c>
      <c r="I47" s="29" t="s">
        <v>279</v>
      </c>
      <c r="J47" s="29" t="s">
        <v>280</v>
      </c>
      <c r="K47" s="29" t="str">
        <f t="shared" si="0"/>
        <v>GBV2</v>
      </c>
      <c r="L47" s="30" t="str">
        <f t="shared" si="1"/>
        <v>p</v>
      </c>
      <c r="N47" s="4">
        <v>4042</v>
      </c>
    </row>
    <row r="48" spans="8:14" x14ac:dyDescent="0.4">
      <c r="H48" s="28">
        <v>45</v>
      </c>
      <c r="I48" s="29" t="s">
        <v>281</v>
      </c>
      <c r="J48" s="29" t="s">
        <v>282</v>
      </c>
      <c r="K48" s="29" t="str">
        <f t="shared" si="0"/>
        <v>GBP2</v>
      </c>
      <c r="L48" s="30" t="str">
        <f t="shared" si="1"/>
        <v>p</v>
      </c>
      <c r="N48" s="4">
        <v>4043</v>
      </c>
    </row>
    <row r="49" spans="8:14" x14ac:dyDescent="0.4">
      <c r="H49" s="28">
        <v>46</v>
      </c>
      <c r="I49" s="29" t="s">
        <v>283</v>
      </c>
      <c r="J49" s="29" t="s">
        <v>284</v>
      </c>
      <c r="K49" s="29" t="str">
        <f t="shared" si="0"/>
        <v>GBV3</v>
      </c>
      <c r="L49" s="30" t="str">
        <f t="shared" si="1"/>
        <v>p</v>
      </c>
      <c r="N49" s="4">
        <v>4061</v>
      </c>
    </row>
    <row r="50" spans="8:14" x14ac:dyDescent="0.4">
      <c r="H50" s="28">
        <v>47</v>
      </c>
      <c r="I50" s="29" t="s">
        <v>285</v>
      </c>
      <c r="J50" s="29" t="s">
        <v>286</v>
      </c>
      <c r="K50" s="29" t="str">
        <f t="shared" si="0"/>
        <v>GBP3</v>
      </c>
      <c r="L50" s="30" t="str">
        <f t="shared" si="1"/>
        <v>p</v>
      </c>
      <c r="N50" s="4">
        <v>4063</v>
      </c>
    </row>
    <row r="51" spans="8:14" x14ac:dyDescent="0.4">
      <c r="H51" s="28">
        <v>48</v>
      </c>
      <c r="I51" s="29" t="s">
        <v>287</v>
      </c>
      <c r="J51" s="29" t="s">
        <v>288</v>
      </c>
      <c r="K51" s="29" t="str">
        <f t="shared" si="0"/>
        <v>GBV4</v>
      </c>
      <c r="L51" s="30" t="str">
        <f t="shared" si="1"/>
        <v>p</v>
      </c>
      <c r="N51" s="4">
        <v>4151</v>
      </c>
    </row>
    <row r="52" spans="8:14" x14ac:dyDescent="0.4">
      <c r="H52" s="28">
        <v>49</v>
      </c>
      <c r="I52" s="29" t="s">
        <v>289</v>
      </c>
      <c r="J52" s="29" t="s">
        <v>290</v>
      </c>
      <c r="K52" s="29" t="str">
        <f t="shared" si="0"/>
        <v>GBP4</v>
      </c>
      <c r="L52" s="30" t="str">
        <f t="shared" si="1"/>
        <v>p</v>
      </c>
      <c r="N52" s="4">
        <v>4183</v>
      </c>
    </row>
    <row r="53" spans="8:14" x14ac:dyDescent="0.4">
      <c r="H53" s="28">
        <v>50</v>
      </c>
      <c r="I53" s="29" t="s">
        <v>291</v>
      </c>
      <c r="J53" s="29" t="s">
        <v>292</v>
      </c>
      <c r="K53" s="29" t="str">
        <f t="shared" si="0"/>
        <v>GBV5</v>
      </c>
      <c r="L53" s="30" t="str">
        <f t="shared" si="1"/>
        <v>p</v>
      </c>
      <c r="N53" s="4">
        <v>4188</v>
      </c>
    </row>
    <row r="54" spans="8:14" x14ac:dyDescent="0.4">
      <c r="H54" s="28">
        <v>51</v>
      </c>
      <c r="I54" s="29" t="s">
        <v>293</v>
      </c>
      <c r="J54" s="29" t="s">
        <v>294</v>
      </c>
      <c r="K54" s="29" t="str">
        <f t="shared" si="0"/>
        <v>GBP5</v>
      </c>
      <c r="L54" s="30" t="str">
        <f t="shared" si="1"/>
        <v>p</v>
      </c>
      <c r="N54" s="4">
        <v>4208</v>
      </c>
    </row>
    <row r="55" spans="8:14" x14ac:dyDescent="0.4">
      <c r="H55" s="28">
        <v>52</v>
      </c>
      <c r="I55" s="29" t="s">
        <v>295</v>
      </c>
      <c r="J55" s="29" t="s">
        <v>296</v>
      </c>
      <c r="K55" s="29" t="str">
        <f t="shared" si="0"/>
        <v>GBV6</v>
      </c>
      <c r="L55" s="30" t="str">
        <f t="shared" si="1"/>
        <v>p</v>
      </c>
      <c r="N55" s="4">
        <v>4324</v>
      </c>
    </row>
    <row r="56" spans="8:14" x14ac:dyDescent="0.4">
      <c r="H56" s="28">
        <v>53</v>
      </c>
      <c r="I56" s="29" t="s">
        <v>297</v>
      </c>
      <c r="J56" s="29" t="s">
        <v>298</v>
      </c>
      <c r="K56" s="29" t="str">
        <f t="shared" si="0"/>
        <v>GBP6</v>
      </c>
      <c r="L56" s="30" t="str">
        <f t="shared" si="1"/>
        <v>p</v>
      </c>
      <c r="N56" s="4">
        <v>4452</v>
      </c>
    </row>
    <row r="57" spans="8:14" x14ac:dyDescent="0.4">
      <c r="H57" s="28">
        <v>54</v>
      </c>
      <c r="I57" s="29" t="s">
        <v>299</v>
      </c>
      <c r="J57" s="29" t="s">
        <v>300</v>
      </c>
      <c r="K57" s="29" t="str">
        <f t="shared" si="0"/>
        <v>GBV7</v>
      </c>
      <c r="L57" s="30" t="str">
        <f t="shared" si="1"/>
        <v>p</v>
      </c>
      <c r="N57" s="4">
        <v>4502</v>
      </c>
    </row>
    <row r="58" spans="8:14" x14ac:dyDescent="0.4">
      <c r="H58" s="28">
        <v>55</v>
      </c>
      <c r="I58" s="29" t="s">
        <v>301</v>
      </c>
      <c r="J58" s="29" t="s">
        <v>302</v>
      </c>
      <c r="K58" s="29" t="str">
        <f t="shared" si="0"/>
        <v>GBP7</v>
      </c>
      <c r="L58" s="30" t="str">
        <f t="shared" si="1"/>
        <v>p</v>
      </c>
      <c r="N58" s="4">
        <v>4503</v>
      </c>
    </row>
    <row r="59" spans="8:14" x14ac:dyDescent="0.4">
      <c r="H59" s="28">
        <v>56</v>
      </c>
      <c r="I59" s="29" t="s">
        <v>303</v>
      </c>
      <c r="J59" s="29" t="s">
        <v>304</v>
      </c>
      <c r="K59" s="29" t="str">
        <f t="shared" si="0"/>
        <v>GBV8</v>
      </c>
      <c r="L59" s="30" t="str">
        <f t="shared" si="1"/>
        <v>p</v>
      </c>
      <c r="N59" s="4">
        <v>4506</v>
      </c>
    </row>
    <row r="60" spans="8:14" x14ac:dyDescent="0.4">
      <c r="H60" s="28">
        <v>57</v>
      </c>
      <c r="I60" s="29" t="s">
        <v>305</v>
      </c>
      <c r="J60" s="29" t="s">
        <v>306</v>
      </c>
      <c r="K60" s="29" t="str">
        <f t="shared" si="0"/>
        <v>GBP8</v>
      </c>
      <c r="L60" s="30" t="str">
        <f t="shared" si="1"/>
        <v>p</v>
      </c>
      <c r="N60" s="4">
        <v>4507</v>
      </c>
    </row>
    <row r="61" spans="8:14" x14ac:dyDescent="0.4">
      <c r="H61" s="28">
        <v>58</v>
      </c>
      <c r="I61" s="29" t="s">
        <v>307</v>
      </c>
      <c r="J61" s="29" t="s">
        <v>308</v>
      </c>
      <c r="K61" s="29" t="str">
        <f t="shared" si="0"/>
        <v>GBV9</v>
      </c>
      <c r="L61" s="30" t="str">
        <f t="shared" si="1"/>
        <v>p</v>
      </c>
      <c r="N61" s="4">
        <v>4519</v>
      </c>
    </row>
    <row r="62" spans="8:14" x14ac:dyDescent="0.4">
      <c r="H62" s="28">
        <v>59</v>
      </c>
      <c r="I62" s="29" t="s">
        <v>309</v>
      </c>
      <c r="J62" s="29" t="s">
        <v>310</v>
      </c>
      <c r="K62" s="29" t="str">
        <f t="shared" si="0"/>
        <v>GBP9</v>
      </c>
      <c r="L62" s="30" t="str">
        <f t="shared" si="1"/>
        <v>p</v>
      </c>
      <c r="N62" s="4">
        <v>4523</v>
      </c>
    </row>
    <row r="63" spans="8:14" x14ac:dyDescent="0.4">
      <c r="H63" s="28">
        <v>60</v>
      </c>
      <c r="I63" s="29" t="s">
        <v>311</v>
      </c>
      <c r="J63" s="29" t="s">
        <v>312</v>
      </c>
      <c r="K63" s="29" t="str">
        <f t="shared" si="0"/>
        <v>GBV10</v>
      </c>
      <c r="L63" s="30" t="str">
        <f t="shared" si="1"/>
        <v>p</v>
      </c>
      <c r="N63" s="4">
        <v>4543</v>
      </c>
    </row>
    <row r="64" spans="8:14" x14ac:dyDescent="0.4">
      <c r="H64" s="28">
        <v>61</v>
      </c>
      <c r="I64" s="29" t="s">
        <v>313</v>
      </c>
      <c r="J64" s="29" t="s">
        <v>314</v>
      </c>
      <c r="K64" s="29" t="str">
        <f t="shared" si="0"/>
        <v>GBP10</v>
      </c>
      <c r="L64" s="30" t="str">
        <f t="shared" si="1"/>
        <v>p</v>
      </c>
      <c r="N64" s="4">
        <v>4568</v>
      </c>
    </row>
    <row r="65" spans="8:14" x14ac:dyDescent="0.4">
      <c r="H65" s="28">
        <v>62</v>
      </c>
      <c r="I65" s="29" t="s">
        <v>191</v>
      </c>
      <c r="J65" s="29" t="s">
        <v>192</v>
      </c>
      <c r="K65" s="29" t="str">
        <f t="shared" si="0"/>
        <v>LISS</v>
      </c>
      <c r="L65" s="30" t="str">
        <f t="shared" si="1"/>
        <v>x</v>
      </c>
      <c r="N65" s="4">
        <v>4578</v>
      </c>
    </row>
    <row r="66" spans="8:14" x14ac:dyDescent="0.4">
      <c r="H66" s="28">
        <v>63</v>
      </c>
      <c r="I66" s="29" t="s">
        <v>319</v>
      </c>
      <c r="J66" s="29" t="s">
        <v>320</v>
      </c>
      <c r="K66" s="29" t="str">
        <f t="shared" si="0"/>
        <v>PRP</v>
      </c>
      <c r="L66" s="30" t="str">
        <f t="shared" si="1"/>
        <v>p</v>
      </c>
      <c r="N66" s="4">
        <v>4631</v>
      </c>
    </row>
    <row r="67" spans="8:14" x14ac:dyDescent="0.4">
      <c r="H67" s="28">
        <v>64</v>
      </c>
      <c r="I67" s="29" t="s">
        <v>186</v>
      </c>
      <c r="J67" s="29" t="s">
        <v>214</v>
      </c>
      <c r="K67" s="29" t="str">
        <f t="shared" si="0"/>
        <v>QAP</v>
      </c>
      <c r="L67" s="30" t="str">
        <f t="shared" si="1"/>
        <v>p</v>
      </c>
      <c r="N67" s="4">
        <v>4689</v>
      </c>
    </row>
    <row r="68" spans="8:14" x14ac:dyDescent="0.4">
      <c r="H68" s="28">
        <v>65</v>
      </c>
      <c r="I68" s="29" t="s">
        <v>185</v>
      </c>
      <c r="J68" s="29" t="s">
        <v>213</v>
      </c>
      <c r="K68" s="29" t="str">
        <f t="shared" si="0"/>
        <v>QAS</v>
      </c>
      <c r="L68" s="30" t="str">
        <f t="shared" si="1"/>
        <v>p</v>
      </c>
      <c r="N68" s="4">
        <v>4704</v>
      </c>
    </row>
    <row r="69" spans="8:14" x14ac:dyDescent="0.4">
      <c r="H69" s="28">
        <v>66</v>
      </c>
      <c r="I69" s="29" t="s">
        <v>189</v>
      </c>
      <c r="J69" s="29" t="s">
        <v>217</v>
      </c>
      <c r="K69" s="29" t="str">
        <f t="shared" ref="K69:K73" si="2">MID(I69,2,LEN(I69)-1)</f>
        <v>QBP</v>
      </c>
      <c r="L69" s="30" t="str">
        <f t="shared" ref="L69:L73" si="3">LEFT(I69,1)</f>
        <v>p</v>
      </c>
      <c r="N69" s="4">
        <v>4751</v>
      </c>
    </row>
    <row r="70" spans="8:14" x14ac:dyDescent="0.4">
      <c r="H70" s="28">
        <v>67</v>
      </c>
      <c r="I70" s="29" t="s">
        <v>188</v>
      </c>
      <c r="J70" s="29" t="s">
        <v>216</v>
      </c>
      <c r="K70" s="29" t="str">
        <f t="shared" si="2"/>
        <v>QBS</v>
      </c>
      <c r="L70" s="30" t="str">
        <f t="shared" si="3"/>
        <v>p</v>
      </c>
      <c r="N70" s="4">
        <v>4755</v>
      </c>
    </row>
    <row r="71" spans="8:14" x14ac:dyDescent="0.4">
      <c r="H71" s="28">
        <v>68</v>
      </c>
      <c r="I71" s="29" t="s">
        <v>233</v>
      </c>
      <c r="J71" s="29" t="s">
        <v>234</v>
      </c>
      <c r="K71" s="29" t="str">
        <f t="shared" si="2"/>
        <v>QOV</v>
      </c>
      <c r="L71" s="30" t="str">
        <f t="shared" si="3"/>
        <v>p</v>
      </c>
      <c r="N71" s="4">
        <v>4901</v>
      </c>
    </row>
    <row r="72" spans="8:14" x14ac:dyDescent="0.4">
      <c r="H72" s="28">
        <v>69</v>
      </c>
      <c r="I72" s="29" t="s">
        <v>315</v>
      </c>
      <c r="J72" s="29" t="s">
        <v>316</v>
      </c>
      <c r="K72" s="29" t="str">
        <f t="shared" si="2"/>
        <v>QUV</v>
      </c>
      <c r="L72" s="30" t="str">
        <f t="shared" si="3"/>
        <v>p</v>
      </c>
      <c r="N72" s="4">
        <v>4902</v>
      </c>
    </row>
    <row r="73" spans="8:14" ht="19.5" thickBot="1" x14ac:dyDescent="0.45">
      <c r="H73" s="31">
        <v>70</v>
      </c>
      <c r="I73" s="32" t="s">
        <v>317</v>
      </c>
      <c r="J73" s="32" t="s">
        <v>318</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X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29" customWidth="1"/>
    <col min="26" max="26" width="31.75" customWidth="1"/>
    <col min="30" max="30" width="31.75" customWidth="1"/>
    <col min="34" max="34" width="31.75" customWidth="1"/>
    <col min="38" max="38" width="31.75" customWidth="1"/>
    <col min="40" max="40" width="9" customWidth="1"/>
    <col min="42" max="42" width="31.75" customWidth="1"/>
    <col min="46" max="46" width="31.75" customWidth="1"/>
    <col min="50" max="50" width="31.75" customWidth="1"/>
  </cols>
  <sheetData>
    <row r="1" spans="1:50" s="11" customFormat="1" ht="21" customHeight="1" x14ac:dyDescent="0.4">
      <c r="A1" s="11" t="s">
        <v>71</v>
      </c>
      <c r="B1" s="11" t="s">
        <v>466</v>
      </c>
      <c r="F1" s="11" t="s">
        <v>467</v>
      </c>
      <c r="J1" s="11" t="s">
        <v>468</v>
      </c>
      <c r="N1" s="11" t="s">
        <v>469</v>
      </c>
      <c r="R1" s="11" t="s">
        <v>480</v>
      </c>
      <c r="V1" s="11" t="s">
        <v>482</v>
      </c>
      <c r="Z1" s="11" t="s">
        <v>484</v>
      </c>
      <c r="AD1" s="11" t="s">
        <v>486</v>
      </c>
      <c r="AH1" s="11" t="s">
        <v>488</v>
      </c>
      <c r="AL1" s="11" t="s">
        <v>490</v>
      </c>
      <c r="AP1" s="11" t="s">
        <v>492</v>
      </c>
      <c r="AT1" s="11" t="s">
        <v>494</v>
      </c>
      <c r="AX1" s="11" t="s">
        <v>496</v>
      </c>
    </row>
    <row r="2" spans="1:50" s="11" customFormat="1" ht="21" customHeight="1" x14ac:dyDescent="0.4">
      <c r="A2" s="11" t="s">
        <v>72</v>
      </c>
      <c r="B2" s="15" t="s">
        <v>473</v>
      </c>
      <c r="F2" s="15" t="s">
        <v>475</v>
      </c>
      <c r="J2" s="15" t="s">
        <v>477</v>
      </c>
      <c r="N2" s="15" t="s">
        <v>479</v>
      </c>
      <c r="R2" s="15" t="s">
        <v>481</v>
      </c>
      <c r="V2" s="15" t="s">
        <v>483</v>
      </c>
      <c r="Z2" s="15" t="s">
        <v>485</v>
      </c>
      <c r="AD2" s="15" t="s">
        <v>487</v>
      </c>
      <c r="AH2" s="15" t="s">
        <v>489</v>
      </c>
      <c r="AL2" s="15" t="s">
        <v>491</v>
      </c>
      <c r="AP2" s="15" t="s">
        <v>493</v>
      </c>
      <c r="AT2" s="15" t="s">
        <v>495</v>
      </c>
      <c r="AX2" s="15" t="s">
        <v>497</v>
      </c>
    </row>
    <row r="3" spans="1:50" ht="63" customHeight="1" x14ac:dyDescent="0.4"/>
    <row r="5" spans="1:50" x14ac:dyDescent="0.4">
      <c r="A5" s="36" t="s">
        <v>441</v>
      </c>
    </row>
    <row r="6" spans="1:50" x14ac:dyDescent="0.4">
      <c r="A6" s="36" t="s">
        <v>440</v>
      </c>
    </row>
    <row r="16" spans="1:50" x14ac:dyDescent="0.4">
      <c r="B16" t="s">
        <v>365</v>
      </c>
      <c r="F16" t="s">
        <v>365</v>
      </c>
      <c r="J16" t="s">
        <v>365</v>
      </c>
      <c r="N16" t="s">
        <v>365</v>
      </c>
      <c r="R16" t="s">
        <v>365</v>
      </c>
      <c r="V16" t="s">
        <v>365</v>
      </c>
      <c r="Z16" t="s">
        <v>365</v>
      </c>
      <c r="AD16" t="s">
        <v>365</v>
      </c>
      <c r="AH16" t="s">
        <v>365</v>
      </c>
      <c r="AL16" t="s">
        <v>365</v>
      </c>
      <c r="AP16" t="s">
        <v>365</v>
      </c>
      <c r="AT16" t="s">
        <v>365</v>
      </c>
      <c r="AX16" t="s">
        <v>365</v>
      </c>
    </row>
    <row r="17" spans="1:50" x14ac:dyDescent="0.4">
      <c r="A17" t="s">
        <v>625</v>
      </c>
      <c r="B17" s="8">
        <v>5</v>
      </c>
      <c r="E17" t="s">
        <v>359</v>
      </c>
      <c r="F17" s="8">
        <v>6</v>
      </c>
      <c r="I17" t="s">
        <v>359</v>
      </c>
      <c r="J17" s="8">
        <v>24</v>
      </c>
      <c r="M17" t="s">
        <v>504</v>
      </c>
      <c r="N17" s="8">
        <v>25</v>
      </c>
      <c r="Q17" t="s">
        <v>359</v>
      </c>
      <c r="R17" s="8">
        <v>26</v>
      </c>
      <c r="U17" t="s">
        <v>511</v>
      </c>
      <c r="V17" s="8">
        <v>27</v>
      </c>
      <c r="Y17" t="s">
        <v>359</v>
      </c>
      <c r="Z17" s="8">
        <v>3</v>
      </c>
      <c r="AC17" t="s">
        <v>359</v>
      </c>
      <c r="AD17" s="8">
        <v>4</v>
      </c>
      <c r="AG17" t="s">
        <v>451</v>
      </c>
      <c r="AH17" s="8">
        <v>30</v>
      </c>
      <c r="AK17" t="s">
        <v>359</v>
      </c>
      <c r="AL17" s="8">
        <v>31</v>
      </c>
      <c r="AO17" t="s">
        <v>359</v>
      </c>
      <c r="AP17" s="8">
        <v>32</v>
      </c>
      <c r="AS17" t="s">
        <v>359</v>
      </c>
      <c r="AT17" s="8">
        <v>33</v>
      </c>
      <c r="AW17" t="s">
        <v>359</v>
      </c>
      <c r="AX17" s="8">
        <v>34</v>
      </c>
    </row>
    <row r="18" spans="1:50" x14ac:dyDescent="0.4">
      <c r="A18" t="s">
        <v>379</v>
      </c>
      <c r="B18" s="13" t="s">
        <v>624</v>
      </c>
      <c r="E18" t="s">
        <v>379</v>
      </c>
      <c r="F18" s="13" t="s">
        <v>626</v>
      </c>
      <c r="I18" t="s">
        <v>379</v>
      </c>
      <c r="J18" s="13" t="s">
        <v>499</v>
      </c>
      <c r="M18" t="s">
        <v>379</v>
      </c>
      <c r="N18" s="13" t="s">
        <v>503</v>
      </c>
      <c r="Q18" t="s">
        <v>379</v>
      </c>
      <c r="R18" s="13" t="s">
        <v>508</v>
      </c>
      <c r="U18" t="s">
        <v>379</v>
      </c>
      <c r="V18" s="13" t="s">
        <v>510</v>
      </c>
      <c r="Y18" t="s">
        <v>379</v>
      </c>
      <c r="Z18" s="13" t="s">
        <v>531</v>
      </c>
      <c r="AC18" t="s">
        <v>534</v>
      </c>
      <c r="AD18" s="13" t="s">
        <v>533</v>
      </c>
      <c r="AG18" t="s">
        <v>379</v>
      </c>
      <c r="AH18" s="13" t="s">
        <v>513</v>
      </c>
      <c r="AK18" t="s">
        <v>379</v>
      </c>
      <c r="AL18" s="13" t="s">
        <v>516</v>
      </c>
      <c r="AO18" t="s">
        <v>379</v>
      </c>
      <c r="AP18" s="13" t="s">
        <v>519</v>
      </c>
      <c r="AS18" t="s">
        <v>379</v>
      </c>
      <c r="AT18" s="13" t="s">
        <v>522</v>
      </c>
      <c r="AW18" t="s">
        <v>379</v>
      </c>
      <c r="AX18" s="13" t="s">
        <v>524</v>
      </c>
    </row>
    <row r="19" spans="1:50" x14ac:dyDescent="0.4">
      <c r="A19" t="s">
        <v>369</v>
      </c>
      <c r="B19" s="14" t="s">
        <v>452</v>
      </c>
      <c r="E19" t="s">
        <v>369</v>
      </c>
      <c r="F19" s="14" t="s">
        <v>453</v>
      </c>
      <c r="I19" t="s">
        <v>369</v>
      </c>
      <c r="J19" s="14" t="s">
        <v>454</v>
      </c>
      <c r="M19" t="s">
        <v>369</v>
      </c>
      <c r="N19" s="14" t="s">
        <v>502</v>
      </c>
      <c r="Q19" t="s">
        <v>369</v>
      </c>
      <c r="R19" s="14" t="s">
        <v>455</v>
      </c>
      <c r="U19" t="s">
        <v>369</v>
      </c>
      <c r="V19" s="14" t="s">
        <v>459</v>
      </c>
      <c r="Y19" t="s">
        <v>369</v>
      </c>
      <c r="Z19" s="14" t="s">
        <v>460</v>
      </c>
      <c r="AC19" t="s">
        <v>369</v>
      </c>
      <c r="AD19" s="14" t="s">
        <v>461</v>
      </c>
      <c r="AG19" t="s">
        <v>514</v>
      </c>
      <c r="AH19" s="14" t="s">
        <v>512</v>
      </c>
      <c r="AK19" t="s">
        <v>369</v>
      </c>
      <c r="AL19" s="14" t="s">
        <v>462</v>
      </c>
      <c r="AO19" t="s">
        <v>369</v>
      </c>
      <c r="AP19" s="14" t="s">
        <v>463</v>
      </c>
      <c r="AS19" t="s">
        <v>369</v>
      </c>
      <c r="AT19" s="14" t="s">
        <v>464</v>
      </c>
      <c r="AW19" t="s">
        <v>525</v>
      </c>
      <c r="AX19" s="14" t="s">
        <v>465</v>
      </c>
    </row>
    <row r="20" spans="1:50" x14ac:dyDescent="0.4">
      <c r="A20" t="s">
        <v>370</v>
      </c>
      <c r="B20" s="14">
        <v>0</v>
      </c>
      <c r="E20" t="s">
        <v>370</v>
      </c>
      <c r="F20" s="14">
        <v>0</v>
      </c>
      <c r="I20" t="s">
        <v>500</v>
      </c>
      <c r="J20" s="14">
        <v>0</v>
      </c>
      <c r="M20" t="s">
        <v>370</v>
      </c>
      <c r="N20" s="14">
        <v>0</v>
      </c>
      <c r="Q20" t="s">
        <v>370</v>
      </c>
      <c r="R20" s="14">
        <v>0</v>
      </c>
      <c r="U20" t="s">
        <v>370</v>
      </c>
      <c r="V20" s="14">
        <v>0</v>
      </c>
      <c r="Y20" t="s">
        <v>370</v>
      </c>
      <c r="Z20" s="14">
        <v>0</v>
      </c>
      <c r="AC20" t="s">
        <v>370</v>
      </c>
      <c r="AD20" s="14">
        <v>0</v>
      </c>
      <c r="AG20" t="s">
        <v>370</v>
      </c>
      <c r="AH20" s="14">
        <v>0</v>
      </c>
      <c r="AK20" t="s">
        <v>517</v>
      </c>
      <c r="AL20" s="14">
        <v>0</v>
      </c>
      <c r="AO20" t="s">
        <v>370</v>
      </c>
      <c r="AP20" s="14">
        <v>0</v>
      </c>
      <c r="AS20" t="s">
        <v>370</v>
      </c>
      <c r="AT20" s="14">
        <v>0</v>
      </c>
      <c r="AW20" t="s">
        <v>526</v>
      </c>
      <c r="AX20" s="14">
        <v>0</v>
      </c>
    </row>
    <row r="21" spans="1:50" x14ac:dyDescent="0.4">
      <c r="A21" t="s">
        <v>364</v>
      </c>
      <c r="B21" s="14"/>
      <c r="E21" t="s">
        <v>364</v>
      </c>
      <c r="F21" s="14"/>
      <c r="I21" t="s">
        <v>364</v>
      </c>
      <c r="J21" s="14"/>
      <c r="M21" t="s">
        <v>505</v>
      </c>
      <c r="N21" s="14"/>
      <c r="Q21" t="s">
        <v>509</v>
      </c>
      <c r="R21" s="14"/>
      <c r="U21" t="s">
        <v>456</v>
      </c>
      <c r="V21" s="14"/>
      <c r="Y21" t="s">
        <v>456</v>
      </c>
      <c r="Z21" s="14"/>
      <c r="AC21" t="s">
        <v>535</v>
      </c>
      <c r="AD21" s="14"/>
      <c r="AG21" t="s">
        <v>456</v>
      </c>
      <c r="AH21" s="14"/>
      <c r="AK21" t="s">
        <v>456</v>
      </c>
      <c r="AL21" s="14"/>
      <c r="AO21" t="s">
        <v>509</v>
      </c>
      <c r="AP21" s="14"/>
      <c r="AS21" t="s">
        <v>456</v>
      </c>
      <c r="AT21" s="14"/>
      <c r="AW21" t="s">
        <v>456</v>
      </c>
      <c r="AX21" s="14"/>
    </row>
    <row r="22" spans="1:50" x14ac:dyDescent="0.4">
      <c r="A22" t="s">
        <v>371</v>
      </c>
      <c r="B22" s="14"/>
      <c r="E22" t="s">
        <v>371</v>
      </c>
      <c r="F22" s="14"/>
      <c r="I22" t="s">
        <v>371</v>
      </c>
      <c r="J22" s="14"/>
      <c r="M22" t="s">
        <v>506</v>
      </c>
      <c r="N22" s="14"/>
      <c r="Q22" t="s">
        <v>457</v>
      </c>
      <c r="R22" s="14"/>
      <c r="U22" t="s">
        <v>506</v>
      </c>
      <c r="V22" s="14"/>
      <c r="Y22" t="s">
        <v>457</v>
      </c>
      <c r="Z22" s="14"/>
      <c r="AC22" t="s">
        <v>536</v>
      </c>
      <c r="AD22" s="14"/>
      <c r="AG22" t="s">
        <v>515</v>
      </c>
      <c r="AH22" s="14"/>
      <c r="AK22" t="s">
        <v>457</v>
      </c>
      <c r="AL22" s="14"/>
      <c r="AO22" t="s">
        <v>520</v>
      </c>
      <c r="AP22" s="14"/>
      <c r="AS22" t="s">
        <v>523</v>
      </c>
      <c r="AT22" s="14"/>
      <c r="AW22" t="s">
        <v>527</v>
      </c>
      <c r="AX22" s="14"/>
    </row>
    <row r="23" spans="1:50" x14ac:dyDescent="0.4">
      <c r="A23" t="s">
        <v>377</v>
      </c>
      <c r="B23" s="14"/>
      <c r="E23" t="s">
        <v>377</v>
      </c>
      <c r="F23" s="14"/>
      <c r="I23" t="s">
        <v>501</v>
      </c>
      <c r="J23" s="14"/>
      <c r="M23" t="s">
        <v>507</v>
      </c>
      <c r="N23" s="14"/>
      <c r="Q23" t="s">
        <v>458</v>
      </c>
      <c r="R23" s="14"/>
      <c r="U23" t="s">
        <v>507</v>
      </c>
      <c r="V23" s="14"/>
      <c r="Y23" t="s">
        <v>532</v>
      </c>
      <c r="Z23" s="14"/>
      <c r="AC23" t="s">
        <v>537</v>
      </c>
      <c r="AD23" s="14"/>
      <c r="AG23" t="s">
        <v>458</v>
      </c>
      <c r="AH23" s="14"/>
      <c r="AK23" t="s">
        <v>518</v>
      </c>
      <c r="AL23" s="14"/>
      <c r="AO23" t="s">
        <v>521</v>
      </c>
      <c r="AP23" s="14"/>
      <c r="AS23" t="s">
        <v>458</v>
      </c>
      <c r="AT23" s="14"/>
      <c r="AW23" t="s">
        <v>458</v>
      </c>
      <c r="AX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1_CLMStkGet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2_CLMStkGetIssueSizyouMstKabu">
                <anchor moveWithCells="1" sizeWithCells="1">
                  <from>
                    <xdr:col>5</xdr:col>
                    <xdr:colOff>9525</xdr:colOff>
                    <xdr:row>2</xdr:row>
                    <xdr:rowOff>95250</xdr:rowOff>
                  </from>
                  <to>
                    <xdr:col>6</xdr:col>
                    <xdr:colOff>9525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3_CLMStkGet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4_CLMStkGet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72" r:id="rId7" name="Button 12">
              <controlPr defaultSize="0" print="0" autoFill="0" autoPict="0" macro="[0]!get_master_6_CLMStkGetIssueMstFx">
                <anchor moveWithCells="1" sizeWithCells="1">
                  <from>
                    <xdr:col>21</xdr:col>
                    <xdr:colOff>47625</xdr:colOff>
                    <xdr:row>2</xdr:row>
                    <xdr:rowOff>76200</xdr:rowOff>
                  </from>
                  <to>
                    <xdr:col>21</xdr:col>
                    <xdr:colOff>1847850</xdr:colOff>
                    <xdr:row>2</xdr:row>
                    <xdr:rowOff>714375</xdr:rowOff>
                  </to>
                </anchor>
              </controlPr>
            </control>
          </mc:Choice>
        </mc:AlternateContent>
        <mc:AlternateContent xmlns:mc="http://schemas.openxmlformats.org/markup-compatibility/2006">
          <mc:Choice Requires="x14">
            <control shapeId="15373" r:id="rId8" name="Button 13">
              <controlPr defaultSize="0" print="0" autoFill="0" autoPict="0" macro="[0]!get_master_7_CLMStkGetDateZyouho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7" r:id="rId9" name="Button 17">
              <controlPr defaultSize="0" print="0" autoFill="0" autoPict="0" macro="[0]!get_master_8_CLMStkGetYobine">
                <anchor moveWithCells="1" sizeWithCells="1">
                  <from>
                    <xdr:col>29</xdr:col>
                    <xdr:colOff>47625</xdr:colOff>
                    <xdr:row>2</xdr:row>
                    <xdr:rowOff>95250</xdr:rowOff>
                  </from>
                  <to>
                    <xdr:col>29</xdr:col>
                    <xdr:colOff>2028825</xdr:colOff>
                    <xdr:row>2</xdr:row>
                    <xdr:rowOff>733425</xdr:rowOff>
                  </to>
                </anchor>
              </controlPr>
            </control>
          </mc:Choice>
        </mc:AlternateContent>
        <mc:AlternateContent xmlns:mc="http://schemas.openxmlformats.org/markup-compatibility/2006">
          <mc:Choice Requires="x14">
            <control shapeId="15379" r:id="rId10" name="Button 19">
              <controlPr defaultSize="0" print="0" autoFill="0" autoPict="0" macro="[0]!get_master_9_CLMStkGetDaiyouKakeme">
                <anchor moveWithCells="1" sizeWithCells="1">
                  <from>
                    <xdr:col>33</xdr:col>
                    <xdr:colOff>47625</xdr:colOff>
                    <xdr:row>2</xdr:row>
                    <xdr:rowOff>95250</xdr:rowOff>
                  </from>
                  <to>
                    <xdr:col>33</xdr:col>
                    <xdr:colOff>2028825</xdr:colOff>
                    <xdr:row>2</xdr:row>
                    <xdr:rowOff>733425</xdr:rowOff>
                  </to>
                </anchor>
              </controlPr>
            </control>
          </mc:Choice>
        </mc:AlternateContent>
        <mc:AlternateContent xmlns:mc="http://schemas.openxmlformats.org/markup-compatibility/2006">
          <mc:Choice Requires="x14">
            <control shapeId="15381" r:id="rId11" name="Button 21">
              <controlPr defaultSize="0" print="0" autoFill="0" autoPict="0" macro="[0]!get_master_10_CLMStkGetIssueSizyouKiseiKabu">
                <anchor moveWithCells="1" sizeWithCells="1">
                  <from>
                    <xdr:col>37</xdr:col>
                    <xdr:colOff>47625</xdr:colOff>
                    <xdr:row>2</xdr:row>
                    <xdr:rowOff>95250</xdr:rowOff>
                  </from>
                  <to>
                    <xdr:col>37</xdr:col>
                    <xdr:colOff>2209800</xdr:colOff>
                    <xdr:row>2</xdr:row>
                    <xdr:rowOff>733425</xdr:rowOff>
                  </to>
                </anchor>
              </controlPr>
            </control>
          </mc:Choice>
        </mc:AlternateContent>
        <mc:AlternateContent xmlns:mc="http://schemas.openxmlformats.org/markup-compatibility/2006">
          <mc:Choice Requires="x14">
            <control shapeId="15383" r:id="rId12" name="Button 23">
              <controlPr defaultSize="0" print="0" autoFill="0" autoPict="0" macro="[0]!get_master_11_CLMStkGetIssueSizyouKiseiHasei">
                <anchor moveWithCells="1" sizeWithCells="1">
                  <from>
                    <xdr:col>41</xdr:col>
                    <xdr:colOff>47625</xdr:colOff>
                    <xdr:row>2</xdr:row>
                    <xdr:rowOff>95250</xdr:rowOff>
                  </from>
                  <to>
                    <xdr:col>41</xdr:col>
                    <xdr:colOff>2390775</xdr:colOff>
                    <xdr:row>2</xdr:row>
                    <xdr:rowOff>733425</xdr:rowOff>
                  </to>
                </anchor>
              </controlPr>
            </control>
          </mc:Choice>
        </mc:AlternateContent>
        <mc:AlternateContent xmlns:mc="http://schemas.openxmlformats.org/markup-compatibility/2006">
          <mc:Choice Requires="x14">
            <control shapeId="15385" r:id="rId13" name="Button 25">
              <controlPr defaultSize="0" print="0" autoFill="0" autoPict="0" macro="[0]!get_master_12_CLMStkGetHosyoukinMst">
                <anchor moveWithCells="1" sizeWithCells="1">
                  <from>
                    <xdr:col>45</xdr:col>
                    <xdr:colOff>47625</xdr:colOff>
                    <xdr:row>2</xdr:row>
                    <xdr:rowOff>95250</xdr:rowOff>
                  </from>
                  <to>
                    <xdr:col>45</xdr:col>
                    <xdr:colOff>2028825</xdr:colOff>
                    <xdr:row>2</xdr:row>
                    <xdr:rowOff>733425</xdr:rowOff>
                  </to>
                </anchor>
              </controlPr>
            </control>
          </mc:Choice>
        </mc:AlternateContent>
        <mc:AlternateContent xmlns:mc="http://schemas.openxmlformats.org/markup-compatibility/2006">
          <mc:Choice Requires="x14">
            <control shapeId="15387" r:id="rId14" name="Button 27">
              <controlPr defaultSize="0" print="0" autoFill="0" autoPict="0" macro="[0]!get_master_13_CLMStkGetOrderErrReason">
                <anchor moveWithCells="1" sizeWithCells="1">
                  <from>
                    <xdr:col>49</xdr:col>
                    <xdr:colOff>47625</xdr:colOff>
                    <xdr:row>2</xdr:row>
                    <xdr:rowOff>95250</xdr:rowOff>
                  </from>
                  <to>
                    <xdr:col>49</xdr:col>
                    <xdr:colOff>2390775</xdr:colOff>
                    <xdr:row>2</xdr:row>
                    <xdr:rowOff>733425</xdr:rowOff>
                  </to>
                </anchor>
              </controlPr>
            </control>
          </mc:Choice>
        </mc:AlternateContent>
        <mc:AlternateContent xmlns:mc="http://schemas.openxmlformats.org/markup-compatibility/2006">
          <mc:Choice Requires="x14">
            <control shapeId="15391" r:id="rId15" name="Button 31">
              <controlPr defaultSize="0" print="0" autoFill="0" autoPict="0" macro="[0]!get_master_5_CLMStkGetIssueMstIndex">
                <anchor moveWithCells="1" sizeWithCells="1">
                  <from>
                    <xdr:col>17</xdr:col>
                    <xdr:colOff>47625</xdr:colOff>
                    <xdr:row>2</xdr:row>
                    <xdr:rowOff>95250</xdr:rowOff>
                  </from>
                  <to>
                    <xdr:col>17</xdr:col>
                    <xdr:colOff>2028825</xdr:colOff>
                    <xdr:row>2</xdr:row>
                    <xdr:rowOff>733425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G1206"/>
  <sheetViews>
    <sheetView workbookViewId="0">
      <selection sqref="A1:XFD1048576"/>
    </sheetView>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2" spans="3:7" s="40" customFormat="1" ht="213" customHeight="1" x14ac:dyDescent="0.4"/>
    <row r="9" spans="3:7" x14ac:dyDescent="0.4">
      <c r="D9" s="50"/>
    </row>
    <row r="10" spans="3:7" x14ac:dyDescent="0.4">
      <c r="D10" s="50"/>
    </row>
    <row r="11" spans="3:7" x14ac:dyDescent="0.4">
      <c r="D11" s="50"/>
      <c r="E11" s="41"/>
    </row>
    <row r="12" spans="3:7" x14ac:dyDescent="0.4">
      <c r="C12" s="42"/>
      <c r="D12" s="50"/>
      <c r="E12" s="42"/>
      <c r="G12" s="42"/>
    </row>
    <row r="13" spans="3:7" x14ac:dyDescent="0.4">
      <c r="D13" s="50"/>
    </row>
    <row r="14" spans="3:7" x14ac:dyDescent="0.4">
      <c r="C14" s="42"/>
      <c r="D14" s="50"/>
      <c r="E14" s="42"/>
      <c r="G14" s="42"/>
    </row>
    <row r="15" spans="3:7" x14ac:dyDescent="0.4">
      <c r="D15" s="50"/>
    </row>
    <row r="16" spans="3:7" x14ac:dyDescent="0.4">
      <c r="C16" s="42"/>
      <c r="D16" s="50"/>
      <c r="E16" s="42"/>
      <c r="G16" s="42"/>
    </row>
    <row r="17" spans="3:7" x14ac:dyDescent="0.4">
      <c r="D17" s="50"/>
    </row>
    <row r="18" spans="3:7" x14ac:dyDescent="0.4">
      <c r="D18" s="50"/>
    </row>
    <row r="19" spans="3:7" x14ac:dyDescent="0.4">
      <c r="D19" s="50"/>
    </row>
    <row r="20" spans="3:7" x14ac:dyDescent="0.4">
      <c r="D20" s="50"/>
    </row>
    <row r="21" spans="3:7" x14ac:dyDescent="0.4">
      <c r="D21" s="50"/>
    </row>
    <row r="22" spans="3:7" x14ac:dyDescent="0.4">
      <c r="C22" s="42"/>
      <c r="D22" s="50"/>
      <c r="E22" s="42"/>
      <c r="G22" s="42"/>
    </row>
    <row r="23" spans="3:7" x14ac:dyDescent="0.4">
      <c r="D23" s="50"/>
    </row>
    <row r="24" spans="3:7" x14ac:dyDescent="0.4">
      <c r="C24" s="42"/>
      <c r="D24" s="50"/>
      <c r="E24" s="42"/>
      <c r="G24" s="42"/>
    </row>
    <row r="25" spans="3:7" x14ac:dyDescent="0.4">
      <c r="D25" s="50"/>
    </row>
    <row r="26" spans="3:7" x14ac:dyDescent="0.4">
      <c r="C26" s="42"/>
      <c r="D26" s="50"/>
      <c r="E26" s="42"/>
      <c r="G26" s="42"/>
    </row>
    <row r="27" spans="3:7" x14ac:dyDescent="0.4">
      <c r="D27" s="50"/>
    </row>
    <row r="28" spans="3:7" x14ac:dyDescent="0.4">
      <c r="D28" s="50"/>
    </row>
    <row r="29" spans="3:7" x14ac:dyDescent="0.4">
      <c r="D29" s="50"/>
    </row>
    <row r="30" spans="3:7" x14ac:dyDescent="0.4">
      <c r="D30" s="50"/>
    </row>
    <row r="31" spans="3:7" x14ac:dyDescent="0.4">
      <c r="D31" s="50"/>
    </row>
    <row r="32" spans="3: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
  <sheetViews>
    <sheetView workbookViewId="0">
      <selection sqref="A1:XFD1048576"/>
    </sheetView>
  </sheetViews>
  <sheetFormatPr defaultColWidth="10.625" defaultRowHeight="18.75" x14ac:dyDescent="0.4"/>
  <cols>
    <col min="1" max="1" width="15.75" customWidth="1"/>
    <col min="2" max="2" width="16.125" customWidth="1"/>
    <col min="3" max="3" width="13.375" customWidth="1"/>
    <col min="4" max="4" width="10.75" bestFit="1" customWidth="1"/>
    <col min="5" max="5" width="15.25" customWidth="1"/>
    <col min="6" max="6" width="10.75" bestFit="1" customWidth="1"/>
    <col min="7" max="7" width="25.125" bestFit="1" customWidth="1"/>
    <col min="8" max="16" width="10.75" bestFit="1" customWidth="1"/>
    <col min="18" max="19" width="10.75" bestFit="1" customWidth="1"/>
    <col min="22" max="23" width="10.75" bestFit="1" customWidth="1"/>
    <col min="25" max="26" width="10.75" bestFit="1" customWidth="1"/>
    <col min="28" max="28" width="10.75" bestFit="1" customWidth="1"/>
    <col min="29" max="29" width="27.875" customWidth="1"/>
    <col min="30" max="33" width="10.75" bestFit="1" customWidth="1"/>
  </cols>
  <sheetData>
    <row r="2" spans="2:2" x14ac:dyDescent="0.4">
      <c r="B2" s="7"/>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e_API_read_me</vt:lpstr>
      <vt:lpstr>暗号化</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2026-10-08T04:03:04Z</dcterms:modified>
</cp:coreProperties>
</file>