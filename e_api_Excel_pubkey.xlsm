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7.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8.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data\excel_vba\excel_pubkey\"/>
    </mc:Choice>
  </mc:AlternateContent>
  <bookViews>
    <workbookView xWindow="0" yWindow="0" windowWidth="11415" windowHeight="6600" tabRatio="580"/>
  </bookViews>
  <sheets>
    <sheet name="e_API_read_me" sheetId="2" r:id="rId1"/>
    <sheet name="暗号化" sheetId="13" r:id="rId2"/>
    <sheet name="ログイン" sheetId="1" r:id="rId3"/>
    <sheet name="照会" sheetId="7" r:id="rId4"/>
    <sheet name="現物" sheetId="8" r:id="rId5"/>
    <sheet name="信用" sheetId="6" r:id="rId6"/>
    <sheet name="訂正取消" sheetId="11" r:id="rId7"/>
    <sheet name="株価" sheetId="9" r:id="rId8"/>
    <sheet name="マスター" sheetId="10" r:id="rId9"/>
    <sheet name="api_応答" sheetId="4" r:id="rId10"/>
    <sheet name="結果" sheetId="5" r:id="rId11"/>
  </sheets>
  <functionGroups builtInGroupCount="18"/>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9" i="2" l="1"/>
  <c r="A111" i="2" s="1"/>
  <c r="A114" i="2" s="1"/>
  <c r="A116" i="2" s="1"/>
  <c r="B20" i="2" l="1"/>
  <c r="B21" i="2" s="1"/>
  <c r="B22" i="2" s="1"/>
  <c r="B23" i="2" s="1"/>
  <c r="B24" i="2" s="1"/>
  <c r="B25" i="2" s="1"/>
  <c r="B26" i="2" s="1"/>
  <c r="B27" i="2" s="1"/>
  <c r="B28" i="2" s="1"/>
  <c r="B29" i="2" s="1"/>
  <c r="B30" i="2" s="1"/>
  <c r="B31" i="2" s="1"/>
  <c r="B32" i="2" s="1"/>
  <c r="B33" i="2" s="1"/>
  <c r="B34" i="2" s="1"/>
  <c r="B35" i="2" s="1"/>
  <c r="B36" i="2" s="1"/>
  <c r="B37" i="2" s="1"/>
  <c r="B38" i="2" s="1"/>
  <c r="B39" i="2" s="1"/>
  <c r="B40" i="2" s="1"/>
  <c r="B41" i="2" s="1"/>
  <c r="B42" i="2" s="1"/>
  <c r="B43" i="2" s="1"/>
  <c r="B44" i="2" s="1"/>
  <c r="B45" i="2" s="1"/>
  <c r="B46" i="2" s="1"/>
  <c r="B47" i="2" s="1"/>
  <c r="B48" i="2" s="1"/>
  <c r="B49" i="2" s="1"/>
  <c r="B50" i="2" s="1"/>
  <c r="B51" i="2" s="1"/>
  <c r="B52" i="2" s="1"/>
  <c r="X3" i="9" l="1"/>
  <c r="W3" i="9"/>
  <c r="U3" i="9"/>
  <c r="V3" i="9"/>
  <c r="T3" i="9"/>
  <c r="S3" i="9"/>
  <c r="P3" i="9"/>
  <c r="O3" i="9"/>
  <c r="R3" i="9"/>
  <c r="Q3" i="9"/>
  <c r="L73" i="9" l="1"/>
  <c r="L72" i="9"/>
  <c r="L71" i="9"/>
  <c r="L70" i="9"/>
  <c r="L69" i="9"/>
  <c r="L68" i="9"/>
  <c r="L67" i="9"/>
  <c r="L66" i="9"/>
  <c r="L65" i="9"/>
  <c r="L64" i="9"/>
  <c r="L63" i="9"/>
  <c r="L62" i="9"/>
  <c r="L61" i="9"/>
  <c r="L60" i="9"/>
  <c r="L59" i="9"/>
  <c r="L58" i="9"/>
  <c r="L57" i="9"/>
  <c r="L56" i="9"/>
  <c r="L55" i="9"/>
  <c r="L54" i="9"/>
  <c r="L53" i="9"/>
  <c r="L52" i="9"/>
  <c r="L51" i="9"/>
  <c r="L50" i="9"/>
  <c r="L49" i="9"/>
  <c r="L48" i="9"/>
  <c r="L47" i="9"/>
  <c r="L46" i="9"/>
  <c r="L45" i="9"/>
  <c r="L44" i="9"/>
  <c r="L43" i="9"/>
  <c r="L42" i="9"/>
  <c r="L41" i="9"/>
  <c r="L40" i="9"/>
  <c r="L39" i="9"/>
  <c r="L38" i="9"/>
  <c r="L37" i="9"/>
  <c r="L36" i="9"/>
  <c r="L35" i="9"/>
  <c r="L34" i="9"/>
  <c r="L33" i="9"/>
  <c r="L32" i="9"/>
  <c r="L31" i="9"/>
  <c r="L30" i="9"/>
  <c r="L29" i="9"/>
  <c r="L28" i="9"/>
  <c r="L27" i="9"/>
  <c r="L26" i="9"/>
  <c r="L25" i="9"/>
  <c r="L24" i="9"/>
  <c r="L23" i="9"/>
  <c r="L22" i="9"/>
  <c r="L21" i="9"/>
  <c r="L20" i="9"/>
  <c r="L19" i="9"/>
  <c r="L18" i="9"/>
  <c r="L17" i="9"/>
  <c r="L16" i="9"/>
  <c r="L15" i="9"/>
  <c r="L14" i="9"/>
  <c r="L13" i="9"/>
  <c r="L12" i="9"/>
  <c r="L11" i="9"/>
  <c r="L10" i="9"/>
  <c r="L9" i="9"/>
  <c r="L8" i="9"/>
  <c r="L7" i="9"/>
  <c r="L6" i="9"/>
  <c r="L5" i="9"/>
  <c r="L4" i="9"/>
  <c r="K73" i="9"/>
  <c r="K72" i="9"/>
  <c r="K71" i="9"/>
  <c r="K70" i="9"/>
  <c r="K69" i="9"/>
  <c r="K68" i="9"/>
  <c r="K67" i="9"/>
  <c r="K66" i="9"/>
  <c r="K65" i="9"/>
  <c r="K64" i="9"/>
  <c r="K63" i="9"/>
  <c r="K62" i="9"/>
  <c r="K61" i="9"/>
  <c r="K60" i="9"/>
  <c r="K59" i="9"/>
  <c r="K58" i="9"/>
  <c r="K57" i="9"/>
  <c r="K56" i="9"/>
  <c r="K55" i="9"/>
  <c r="K54" i="9"/>
  <c r="K53" i="9"/>
  <c r="K52" i="9"/>
  <c r="K51" i="9"/>
  <c r="K50" i="9"/>
  <c r="K49" i="9"/>
  <c r="K48" i="9"/>
  <c r="K47" i="9"/>
  <c r="K46" i="9"/>
  <c r="K45" i="9"/>
  <c r="K44" i="9"/>
  <c r="K43" i="9"/>
  <c r="K42" i="9"/>
  <c r="K41" i="9"/>
  <c r="K40" i="9"/>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K6" i="9"/>
  <c r="K5" i="9"/>
  <c r="K4" i="9"/>
</calcChain>
</file>

<file path=xl/sharedStrings.xml><?xml version="1.0" encoding="utf-8"?>
<sst xmlns="http://schemas.openxmlformats.org/spreadsheetml/2006/main" count="1058" uniqueCount="665">
  <si>
    <t>Create</t>
    <phoneticPr fontId="1"/>
  </si>
  <si>
    <t>立花証券株式会社</t>
    <rPh sb="0" eb="4">
      <t>タチバナショウケン</t>
    </rPh>
    <rPh sb="4" eb="6">
      <t>カブシキ</t>
    </rPh>
    <rPh sb="6" eb="8">
      <t>カイシャ</t>
    </rPh>
    <phoneticPr fontId="1"/>
  </si>
  <si>
    <t>Update</t>
    <phoneticPr fontId="1"/>
  </si>
  <si>
    <t>１．概要</t>
    <rPh sb="2" eb="4">
      <t>ガイヨウ</t>
    </rPh>
    <phoneticPr fontId="1"/>
  </si>
  <si>
    <t>本サンプルプログラムは立花証券・ｅ支店・ＡＰＩ（以下ｅ支店・ＡＰＩと呼ぶ）を</t>
    <rPh sb="0" eb="1">
      <t>ホン</t>
    </rPh>
    <rPh sb="11" eb="15">
      <t>タチバナショウケン</t>
    </rPh>
    <rPh sb="16" eb="19">
      <t>エシテン</t>
    </rPh>
    <rPh sb="24" eb="26">
      <t>イカ</t>
    </rPh>
    <rPh sb="34" eb="35">
      <t>ヨ</t>
    </rPh>
    <phoneticPr fontId="1"/>
  </si>
  <si>
    <t>２．目的</t>
    <rPh sb="2" eb="4">
      <t>モクテキ</t>
    </rPh>
    <phoneticPr fontId="1"/>
  </si>
  <si>
    <t>本サンプルプログラムはｅ支店・ＡＰＩを EXCEL (VBA) で利用するための専用モジュール、及び EXCEL 関数としての実装を提供し</t>
    <rPh sb="0" eb="1">
      <t>ホン</t>
    </rPh>
    <rPh sb="11" eb="14">
      <t>エシテン</t>
    </rPh>
    <rPh sb="33" eb="35">
      <t>リヨウ</t>
    </rPh>
    <rPh sb="40" eb="42">
      <t>センヨウ</t>
    </rPh>
    <rPh sb="48" eb="49">
      <t>オヨ</t>
    </rPh>
    <rPh sb="57" eb="59">
      <t>カンスウ</t>
    </rPh>
    <rPh sb="63" eb="65">
      <t>ジッソウ</t>
    </rPh>
    <rPh sb="66" eb="68">
      <t>テイキョウ</t>
    </rPh>
    <phoneticPr fontId="1"/>
  </si>
  <si>
    <t>EXCEL(VBA) でのｅ支店・ＡＰＩの使用方法を理解頂くための EXCEL ファイル（本ファイル）及び VBA 専用モジュールです。</t>
    <rPh sb="13" eb="16">
      <t>エシテン</t>
    </rPh>
    <rPh sb="21" eb="23">
      <t>シヨウ</t>
    </rPh>
    <rPh sb="23" eb="25">
      <t>ホウホウ</t>
    </rPh>
    <rPh sb="26" eb="28">
      <t>リカイ</t>
    </rPh>
    <rPh sb="28" eb="29">
      <t>イタダ</t>
    </rPh>
    <rPh sb="45" eb="46">
      <t>ホン</t>
    </rPh>
    <rPh sb="51" eb="52">
      <t>オヨ</t>
    </rPh>
    <rPh sb="58" eb="60">
      <t>センヨウ</t>
    </rPh>
    <phoneticPr fontId="1"/>
  </si>
  <si>
    <t>３．提供ファイル</t>
    <rPh sb="2" eb="4">
      <t>テイキョウ</t>
    </rPh>
    <phoneticPr fontId="1"/>
  </si>
  <si>
    <t>・・・・</t>
    <phoneticPr fontId="1"/>
  </si>
  <si>
    <t>本エクセルファイル。</t>
    <rPh sb="0" eb="1">
      <t>ホン</t>
    </rPh>
    <phoneticPr fontId="1"/>
  </si>
  <si>
    <t>・・・・</t>
    <phoneticPr fontId="1"/>
  </si>
  <si>
    <t>VBA-JSON v2.3.1（https://github.com/VBA-tools/VBA-JSON/releases/tag/v2.3.1）モジュール。</t>
    <phoneticPr fontId="1"/>
  </si>
  <si>
    <t>４．動作環境</t>
    <rPh sb="2" eb="4">
      <t>ドウサ</t>
    </rPh>
    <rPh sb="4" eb="6">
      <t>カンキョウ</t>
    </rPh>
    <phoneticPr fontId="1"/>
  </si>
  <si>
    <t>以下環境について動作確認をしております。</t>
    <rPh sb="0" eb="2">
      <t>イカ</t>
    </rPh>
    <rPh sb="2" eb="4">
      <t>カンキョウ</t>
    </rPh>
    <rPh sb="8" eb="10">
      <t>ドウサ</t>
    </rPh>
    <rPh sb="10" eb="12">
      <t>カクニン</t>
    </rPh>
    <phoneticPr fontId="1"/>
  </si>
  <si>
    <t>５．免責事項</t>
    <rPh sb="2" eb="6">
      <t>メンセキジコウ</t>
    </rPh>
    <phoneticPr fontId="1"/>
  </si>
  <si>
    <t>本サンプルはｅ支店・ＡＰＩ の利用目的以外にはご使用頂けませんので、予めご了承願います。</t>
    <rPh sb="0" eb="1">
      <t>ホン</t>
    </rPh>
    <rPh sb="15" eb="17">
      <t>リヨウ</t>
    </rPh>
    <rPh sb="17" eb="19">
      <t>モクテキ</t>
    </rPh>
    <rPh sb="19" eb="21">
      <t>イガイ</t>
    </rPh>
    <rPh sb="24" eb="26">
      <t>シヨウ</t>
    </rPh>
    <rPh sb="26" eb="27">
      <t>イタダ</t>
    </rPh>
    <rPh sb="34" eb="35">
      <t>アラカジ</t>
    </rPh>
    <rPh sb="37" eb="39">
      <t>リョウショウ</t>
    </rPh>
    <rPh sb="39" eb="40">
      <t>ネガ</t>
    </rPh>
    <phoneticPr fontId="1"/>
  </si>
  <si>
    <t>VBA での JSON 文字列解析に VBA-JSON v2.3.1（https://github.com/VBA-tools/VBA-JSON/releases/tag/v2.3.1）（MIT License）を利用。</t>
    <rPh sb="12" eb="15">
      <t>モジレツ</t>
    </rPh>
    <rPh sb="15" eb="17">
      <t>カイセキ</t>
    </rPh>
    <rPh sb="107" eb="109">
      <t>リヨウ</t>
    </rPh>
    <phoneticPr fontId="1"/>
  </si>
  <si>
    <t>本サンプルはｅ支店・ＡＰＩを利用しております関係上、まず最初にｅ支店・ＡＰＩの利用に関する説明を専用ページにてご確認頂いた後</t>
    <rPh sb="0" eb="1">
      <t>ホン</t>
    </rPh>
    <rPh sb="6" eb="9">
      <t>エシテン</t>
    </rPh>
    <rPh sb="14" eb="16">
      <t>リヨウ</t>
    </rPh>
    <rPh sb="22" eb="25">
      <t>カンケイジョウ</t>
    </rPh>
    <rPh sb="28" eb="30">
      <t>サイショ</t>
    </rPh>
    <rPh sb="31" eb="34">
      <t>エシテン</t>
    </rPh>
    <rPh sb="39" eb="41">
      <t>リヨウ</t>
    </rPh>
    <rPh sb="42" eb="43">
      <t>カン</t>
    </rPh>
    <rPh sb="45" eb="47">
      <t>セツメイ</t>
    </rPh>
    <rPh sb="48" eb="50">
      <t>センヨウ</t>
    </rPh>
    <rPh sb="56" eb="58">
      <t>カクニン</t>
    </rPh>
    <rPh sb="58" eb="59">
      <t>イタダ</t>
    </rPh>
    <rPh sb="61" eb="62">
      <t>ノチ</t>
    </rPh>
    <phoneticPr fontId="1"/>
  </si>
  <si>
    <t>しかるべき条件や制限の範囲内でご利用頂くことが前提となりますので、本サンプルご利用前に専用ＨＰの記載をご一読願います。</t>
    <rPh sb="5" eb="7">
      <t>ジョウケン</t>
    </rPh>
    <rPh sb="8" eb="10">
      <t>セイゲン</t>
    </rPh>
    <rPh sb="11" eb="13">
      <t>ハンイ</t>
    </rPh>
    <rPh sb="13" eb="14">
      <t>ナイ</t>
    </rPh>
    <rPh sb="16" eb="18">
      <t>リヨウ</t>
    </rPh>
    <rPh sb="18" eb="19">
      <t>イタダ</t>
    </rPh>
    <rPh sb="23" eb="25">
      <t>ゼンテイ</t>
    </rPh>
    <rPh sb="33" eb="34">
      <t>ホン</t>
    </rPh>
    <rPh sb="39" eb="41">
      <t>リヨウ</t>
    </rPh>
    <rPh sb="41" eb="42">
      <t>マエ</t>
    </rPh>
    <rPh sb="43" eb="45">
      <t>センヨウ</t>
    </rPh>
    <rPh sb="48" eb="50">
      <t>キサイ</t>
    </rPh>
    <rPh sb="52" eb="54">
      <t>イチドク</t>
    </rPh>
    <rPh sb="54" eb="55">
      <t>ネガ</t>
    </rPh>
    <phoneticPr fontId="1"/>
  </si>
  <si>
    <t>本サンプルは「４．動作環境」記載の環境でのみ動作確認を行っております。</t>
    <rPh sb="0" eb="1">
      <t>ホン</t>
    </rPh>
    <rPh sb="9" eb="11">
      <t>ドウサ</t>
    </rPh>
    <rPh sb="11" eb="13">
      <t>カンキョウ</t>
    </rPh>
    <rPh sb="14" eb="16">
      <t>キサイ</t>
    </rPh>
    <rPh sb="17" eb="19">
      <t>カンキョウ</t>
    </rPh>
    <rPh sb="22" eb="24">
      <t>ドウサ</t>
    </rPh>
    <rPh sb="24" eb="26">
      <t>カクニン</t>
    </rPh>
    <rPh sb="27" eb="28">
      <t>オコナ</t>
    </rPh>
    <phoneticPr fontId="1"/>
  </si>
  <si>
    <t>その全ての組み合わせを検証することは不可能ですので、「４．動作環境」記載の環境でのご利用を推奨いたします。</t>
    <rPh sb="2" eb="3">
      <t>スベ</t>
    </rPh>
    <rPh sb="5" eb="6">
      <t>ク</t>
    </rPh>
    <rPh sb="7" eb="8">
      <t>ア</t>
    </rPh>
    <rPh sb="11" eb="13">
      <t>ケンショウ</t>
    </rPh>
    <rPh sb="18" eb="21">
      <t>フカノウ</t>
    </rPh>
    <rPh sb="29" eb="31">
      <t>ドウサ</t>
    </rPh>
    <rPh sb="31" eb="33">
      <t>カンキョウ</t>
    </rPh>
    <rPh sb="34" eb="36">
      <t>キサイ</t>
    </rPh>
    <rPh sb="37" eb="39">
      <t>カンキョウ</t>
    </rPh>
    <rPh sb="42" eb="44">
      <t>リヨウ</t>
    </rPh>
    <rPh sb="45" eb="47">
      <t>スイショウ</t>
    </rPh>
    <phoneticPr fontId="1"/>
  </si>
  <si>
    <t>EXCEL 及び VBA のご利用方法については該当商品の説明資料等を参照願います。</t>
    <rPh sb="6" eb="7">
      <t>オヨ</t>
    </rPh>
    <rPh sb="15" eb="17">
      <t>リヨウ</t>
    </rPh>
    <rPh sb="17" eb="19">
      <t>ホウホウ</t>
    </rPh>
    <rPh sb="24" eb="26">
      <t>ガイトウ</t>
    </rPh>
    <rPh sb="26" eb="28">
      <t>ショウヒン</t>
    </rPh>
    <rPh sb="29" eb="31">
      <t>セツメイ</t>
    </rPh>
    <rPh sb="31" eb="33">
      <t>シリョウ</t>
    </rPh>
    <rPh sb="33" eb="34">
      <t>トウ</t>
    </rPh>
    <rPh sb="35" eb="37">
      <t>サンショウ</t>
    </rPh>
    <rPh sb="37" eb="38">
      <t>ネガ</t>
    </rPh>
    <phoneticPr fontId="1"/>
  </si>
  <si>
    <t>そのため、ｅ支店・ＡＰＩのバージョンアップにより本サンプルがご利用になれなくなる場合がございますので予めご了承願います。</t>
    <rPh sb="5" eb="8">
      <t>エシテン</t>
    </rPh>
    <rPh sb="24" eb="25">
      <t>ホン</t>
    </rPh>
    <rPh sb="31" eb="33">
      <t>リヨウ</t>
    </rPh>
    <rPh sb="40" eb="42">
      <t>バアイ</t>
    </rPh>
    <rPh sb="50" eb="51">
      <t>アラカジ</t>
    </rPh>
    <rPh sb="53" eb="55">
      <t>リョウショウ</t>
    </rPh>
    <rPh sb="55" eb="56">
      <t>ネガ</t>
    </rPh>
    <phoneticPr fontId="1"/>
  </si>
  <si>
    <t>※ｅ支店・ＡＰＩのバージョンアップに合わせ本サンプルもアップデートを行うかもしれませんが、現時点では未確定です。</t>
    <rPh sb="1" eb="4">
      <t>エシテン</t>
    </rPh>
    <rPh sb="18" eb="19">
      <t>ア</t>
    </rPh>
    <rPh sb="21" eb="22">
      <t>ホン</t>
    </rPh>
    <rPh sb="34" eb="35">
      <t>オコナ</t>
    </rPh>
    <rPh sb="45" eb="48">
      <t>ゲンジテン</t>
    </rPh>
    <rPh sb="50" eb="53">
      <t>ミカクテイ</t>
    </rPh>
    <phoneticPr fontId="1"/>
  </si>
  <si>
    <t>EXCELのメニューからファイル－＞オプション－＞リボンのユーザ設定で開発にチェックを入れる。結果メニューに「開発」が表示されます。</t>
    <rPh sb="32" eb="34">
      <t>セッテイ</t>
    </rPh>
    <rPh sb="35" eb="37">
      <t>カイハツ</t>
    </rPh>
    <rPh sb="43" eb="44">
      <t>イ</t>
    </rPh>
    <rPh sb="47" eb="49">
      <t>ケッカ</t>
    </rPh>
    <rPh sb="55" eb="57">
      <t>カイハツ</t>
    </rPh>
    <rPh sb="59" eb="61">
      <t>ヒョウジ</t>
    </rPh>
    <phoneticPr fontId="1"/>
  </si>
  <si>
    <t>開発－＞Visual Basic を選択、標準モジュールに上記「３．提供ファイル」、2,3 のモジュールを追加します。</t>
    <rPh sb="0" eb="2">
      <t>カイハツ</t>
    </rPh>
    <rPh sb="18" eb="20">
      <t>センタク</t>
    </rPh>
    <rPh sb="21" eb="23">
      <t>ヒョウジュン</t>
    </rPh>
    <rPh sb="29" eb="31">
      <t>ジョウキ</t>
    </rPh>
    <rPh sb="34" eb="36">
      <t>テイキョウ</t>
    </rPh>
    <rPh sb="53" eb="55">
      <t>ツイカ</t>
    </rPh>
    <phoneticPr fontId="1"/>
  </si>
  <si>
    <t>VBA のメニュー「ツールー＞参照設定」で以下２つをチェック（参照設定）します。</t>
    <rPh sb="15" eb="17">
      <t>サンショウ</t>
    </rPh>
    <rPh sb="17" eb="19">
      <t>セッテイ</t>
    </rPh>
    <rPh sb="21" eb="23">
      <t>イカ</t>
    </rPh>
    <rPh sb="31" eb="33">
      <t>サンショウ</t>
    </rPh>
    <rPh sb="33" eb="35">
      <t>セッテイ</t>
    </rPh>
    <phoneticPr fontId="1"/>
  </si>
  <si>
    <t>・Microsoft XML, v6.0</t>
    <phoneticPr fontId="1"/>
  </si>
  <si>
    <t>・Microsoft Scripting Runtime</t>
    <phoneticPr fontId="1"/>
  </si>
  <si>
    <t>※EXCEL を新規にインストールした状態で動作確認をしておりますので、EXECEL の各種設定等を変更されている場合は初期状態に戻しご利用下さい。</t>
    <rPh sb="8" eb="10">
      <t>シンキ</t>
    </rPh>
    <rPh sb="19" eb="21">
      <t>ジョウタイ</t>
    </rPh>
    <rPh sb="22" eb="24">
      <t>ドウサ</t>
    </rPh>
    <rPh sb="24" eb="26">
      <t>カクニン</t>
    </rPh>
    <rPh sb="44" eb="46">
      <t>カクシュ</t>
    </rPh>
    <rPh sb="46" eb="48">
      <t>セッテイ</t>
    </rPh>
    <rPh sb="48" eb="49">
      <t>トウ</t>
    </rPh>
    <rPh sb="50" eb="52">
      <t>ヘンコウ</t>
    </rPh>
    <rPh sb="57" eb="59">
      <t>バアイ</t>
    </rPh>
    <rPh sb="60" eb="64">
      <t>ショキジョウタイ</t>
    </rPh>
    <rPh sb="65" eb="66">
      <t>モド</t>
    </rPh>
    <rPh sb="68" eb="70">
      <t>リヨウ</t>
    </rPh>
    <rPh sb="70" eb="71">
      <t>クダ</t>
    </rPh>
    <phoneticPr fontId="1"/>
  </si>
  <si>
    <t>その他、各種資料については「立花証券・ｅ支店・ＡＰＩ専用ページ」、「５．マニュアル」を参照ください。</t>
    <rPh sb="2" eb="3">
      <t>タ</t>
    </rPh>
    <rPh sb="4" eb="6">
      <t>カクシュ</t>
    </rPh>
    <rPh sb="6" eb="8">
      <t>シリョウ</t>
    </rPh>
    <rPh sb="43" eb="45">
      <t>サンショウ</t>
    </rPh>
    <phoneticPr fontId="1"/>
  </si>
  <si>
    <t>api接続url</t>
    <rPh sb="3" eb="5">
      <t>セツゾク</t>
    </rPh>
    <phoneticPr fontId="1"/>
  </si>
  <si>
    <t>sJsonOfmt（json表示形式）</t>
    <rPh sb="14" eb="18">
      <t>ヒョウジケイシキ</t>
    </rPh>
    <phoneticPr fontId="1"/>
  </si>
  <si>
    <t>string型</t>
    <rPh sb="6" eb="7">
      <t>ガタ</t>
    </rPh>
    <phoneticPr fontId="1"/>
  </si>
  <si>
    <t>入力</t>
    <rPh sb="0" eb="2">
      <t>ニュウリョク</t>
    </rPh>
    <phoneticPr fontId="1"/>
  </si>
  <si>
    <t>項目名</t>
    <rPh sb="0" eb="3">
      <t>コウモクメイ</t>
    </rPh>
    <phoneticPr fontId="1"/>
  </si>
  <si>
    <t>備考</t>
    <rPh sb="0" eb="2">
      <t>ビコウ</t>
    </rPh>
    <phoneticPr fontId="1"/>
  </si>
  <si>
    <t>sResultText</t>
  </si>
  <si>
    <t>立花証券・ｅ支店・ＡＰＩサンプルプログラム（vba）。</t>
    <rPh sb="0" eb="2">
      <t>タチバナ</t>
    </rPh>
    <rPh sb="2" eb="4">
      <t>ショウケン</t>
    </rPh>
    <rPh sb="5" eb="8">
      <t>エシテン</t>
    </rPh>
    <phoneticPr fontId="1"/>
  </si>
  <si>
    <t>Microsoft EXCEL(VBA) （以下 EXCEL または VBA と呼ぶ）から利用するサンプルプログラムです。</t>
    <phoneticPr fontId="1"/>
  </si>
  <si>
    <t>提供ファイルについての利用方法等々のサポートは一切ございませんので予めご了承願います。</t>
    <rPh sb="0" eb="2">
      <t>テイキョウ</t>
    </rPh>
    <rPh sb="11" eb="15">
      <t>リヨウホウホウ</t>
    </rPh>
    <rPh sb="15" eb="17">
      <t>トウトウ</t>
    </rPh>
    <rPh sb="33" eb="34">
      <t>アラカジ</t>
    </rPh>
    <rPh sb="36" eb="38">
      <t>リョウショウ</t>
    </rPh>
    <rPh sb="38" eb="39">
      <t>ネガ</t>
    </rPh>
    <phoneticPr fontId="1"/>
  </si>
  <si>
    <t>2022.03.09</t>
    <phoneticPr fontId="1"/>
  </si>
  <si>
    <t>実際の銘柄コードを入れてください。</t>
    <phoneticPr fontId="1"/>
  </si>
  <si>
    <t>00:東証   現在(2021/07/01)、東証のみ可能。</t>
    <phoneticPr fontId="1"/>
  </si>
  <si>
    <t>0:指定なし、2:寄付、4:引け、6:不成。指し値は、0:指定なし。</t>
    <phoneticPr fontId="1"/>
  </si>
  <si>
    <t>*:指定なし、0:成行、上記以外は、注文値段。小数点については、関連資料:「立花証券・e支店・API、REQUEST I/F、マスタデータ利用方法」の「2-12. 呼値」参照。</t>
    <phoneticPr fontId="1"/>
  </si>
  <si>
    <t>10.銘柄コード</t>
    <phoneticPr fontId="1"/>
  </si>
  <si>
    <t>11.市場</t>
    <phoneticPr fontId="1"/>
  </si>
  <si>
    <t>13.執行条件</t>
    <phoneticPr fontId="1"/>
  </si>
  <si>
    <t>14.注文値段</t>
    <phoneticPr fontId="1"/>
  </si>
  <si>
    <t>00</t>
    <phoneticPr fontId="1"/>
  </si>
  <si>
    <t>APIからの返信（注文取消で利用する。）</t>
    <rPh sb="6" eb="8">
      <t>ヘンシン</t>
    </rPh>
    <rPh sb="9" eb="13">
      <t>チュウモントリケ</t>
    </rPh>
    <rPh sb="14" eb="16">
      <t>リヨウ</t>
    </rPh>
    <phoneticPr fontId="1"/>
  </si>
  <si>
    <t>0: 正常に注文が処理された。0以外: 注文がエラーとなった。</t>
    <rPh sb="3" eb="5">
      <t>セイジョウ</t>
    </rPh>
    <rPh sb="6" eb="8">
      <t>チュウモン</t>
    </rPh>
    <rPh sb="9" eb="11">
      <t>ショリ</t>
    </rPh>
    <rPh sb="16" eb="18">
      <t>イガイ</t>
    </rPh>
    <rPh sb="20" eb="22">
      <t>チュウモン</t>
    </rPh>
    <phoneticPr fontId="1"/>
  </si>
  <si>
    <t>＊危険＊　実際に発注されます。市場で約定した場合取り消せません。</t>
    <rPh sb="1" eb="3">
      <t>キケン</t>
    </rPh>
    <rPh sb="5" eb="7">
      <t>ジッサイ</t>
    </rPh>
    <rPh sb="8" eb="10">
      <t>ハッチュウ</t>
    </rPh>
    <rPh sb="15" eb="17">
      <t>シジョウ</t>
    </rPh>
    <rPh sb="18" eb="20">
      <t>ヤクジョウ</t>
    </rPh>
    <rPh sb="22" eb="24">
      <t>バアイ</t>
    </rPh>
    <rPh sb="24" eb="25">
      <t>ト</t>
    </rPh>
    <rPh sb="26" eb="27">
      <t>ケ</t>
    </rPh>
    <phoneticPr fontId="1"/>
  </si>
  <si>
    <t>取り消したい注文を標準Webの注文照会画面より転記する</t>
    <rPh sb="0" eb="1">
      <t>ト</t>
    </rPh>
    <rPh sb="2" eb="3">
      <t>ケ</t>
    </rPh>
    <rPh sb="6" eb="8">
      <t>チュウモン</t>
    </rPh>
    <rPh sb="9" eb="11">
      <t>ヒョウジュン</t>
    </rPh>
    <rPh sb="15" eb="21">
      <t>チュウモンショウカイガメン</t>
    </rPh>
    <rPh sb="23" eb="25">
      <t>テンキ</t>
    </rPh>
    <phoneticPr fontId="1"/>
  </si>
  <si>
    <t>＊危険　　実際に取消されます。</t>
    <rPh sb="1" eb="3">
      <t>キケン</t>
    </rPh>
    <rPh sb="5" eb="7">
      <t>ジッサイ</t>
    </rPh>
    <rPh sb="8" eb="10">
      <t>トリケシ</t>
    </rPh>
    <phoneticPr fontId="1"/>
  </si>
  <si>
    <t xml:space="preserve"> </t>
    <phoneticPr fontId="1"/>
  </si>
  <si>
    <t>APIからの返信</t>
    <rPh sb="6" eb="8">
      <t>ヘンシン</t>
    </rPh>
    <phoneticPr fontId="1"/>
  </si>
  <si>
    <t>＊危険　全ての注文が取消されます。</t>
    <rPh sb="1" eb="3">
      <t>キケン</t>
    </rPh>
    <rPh sb="4" eb="5">
      <t>スベ</t>
    </rPh>
    <rPh sb="7" eb="9">
      <t>チュウモン</t>
    </rPh>
    <rPh sb="10" eb="12">
      <t>トリケシ</t>
    </rPh>
    <phoneticPr fontId="1"/>
  </si>
  <si>
    <t>実際の銘柄コードを入れてください。</t>
    <phoneticPr fontId="1"/>
  </si>
  <si>
    <t>00</t>
    <phoneticPr fontId="1"/>
  </si>
  <si>
    <t>00:東証   現在(2021/07/01)、東証のみ可能。</t>
    <phoneticPr fontId="1"/>
  </si>
  <si>
    <t>0:指定なし、2:寄付、4:引け、6:不成。指し値は、0:指定なし。</t>
    <phoneticPr fontId="1"/>
  </si>
  <si>
    <t>*:指定なし、0:成行、上記以外は、注文値段。小数点については、関連資料:「立花証券・e支店・API、REQUEST I/F、マスタデータ利用方法」の「2-12. 呼値」参照。</t>
    <phoneticPr fontId="1"/>
  </si>
  <si>
    <t>logout</t>
    <phoneticPr fontId="1"/>
  </si>
  <si>
    <t>login</t>
    <phoneticPr fontId="1"/>
  </si>
  <si>
    <t>入力項目</t>
    <rPh sb="0" eb="2">
      <t>ニュウリョク</t>
    </rPh>
    <rPh sb="2" eb="4">
      <t>コウモク</t>
    </rPh>
    <phoneticPr fontId="1"/>
  </si>
  <si>
    <t>15.注文数量</t>
    <phoneticPr fontId="1"/>
  </si>
  <si>
    <t>CLMKabuCancelOrderAll</t>
  </si>
  <si>
    <t>CLMKabuNewOrder</t>
  </si>
  <si>
    <t>モジュール名</t>
    <rPh sb="5" eb="6">
      <t>メイ</t>
    </rPh>
    <phoneticPr fontId="1"/>
  </si>
  <si>
    <t>プロシージャー名</t>
    <rPh sb="7" eb="8">
      <t>メイ</t>
    </rPh>
    <phoneticPr fontId="1"/>
  </si>
  <si>
    <t>照会_信用_新規建可能額</t>
  </si>
  <si>
    <t>CLMOrderListDetail</t>
  </si>
  <si>
    <t xml:space="preserve">4.sOrderNumber 注文番号 </t>
    <phoneticPr fontId="1"/>
  </si>
  <si>
    <t>5.sEigyouDay 営業日</t>
    <phoneticPr fontId="1"/>
  </si>
  <si>
    <t>6.sCondition 執行条件</t>
    <phoneticPr fontId="1"/>
  </si>
  <si>
    <t>*：変更なし 0：指定なし 2：寄付 4：引け 6：不成</t>
  </si>
  <si>
    <t>7.sOrderPrice 注文値段</t>
    <phoneticPr fontId="1"/>
  </si>
  <si>
    <t>*：変更なし、 0：成行に変更、 訂正注文値段：指値を変更</t>
    <phoneticPr fontId="1"/>
  </si>
  <si>
    <t>営業日（YYYYMMDD）</t>
  </si>
  <si>
    <t>新規注文の応答の該当項目。注文約定一覧のsOrderOrderNumber。</t>
    <rPh sb="13" eb="19">
      <t>チュウモンヤクジョウイチラン</t>
    </rPh>
    <phoneticPr fontId="1"/>
  </si>
  <si>
    <t>8.sOrderSuryou 注文数量</t>
    <phoneticPr fontId="1"/>
  </si>
  <si>
    <t>*</t>
    <phoneticPr fontId="1"/>
  </si>
  <si>
    <t>CLMKabuCorrectOrder</t>
  </si>
  <si>
    <t>訂正したい注文を標準Webの注文照会画面より転記する</t>
    <rPh sb="0" eb="2">
      <t>テイセイ</t>
    </rPh>
    <rPh sb="5" eb="7">
      <t>チュウモン</t>
    </rPh>
    <rPh sb="8" eb="10">
      <t>ヒョウジュン</t>
    </rPh>
    <rPh sb="14" eb="20">
      <t>チュウモンショウカイガメン</t>
    </rPh>
    <rPh sb="22" eb="24">
      <t>テンキ</t>
    </rPh>
    <phoneticPr fontId="1"/>
  </si>
  <si>
    <t>*：変更なし、 訂正数量：数量を変更（増株不可）。 ※訂正数量には、内出来を含んだ数量を指定</t>
    <phoneticPr fontId="1"/>
  </si>
  <si>
    <t xml:space="preserve"> </t>
    <phoneticPr fontId="1"/>
  </si>
  <si>
    <t>現物_預り株一覧</t>
    <rPh sb="0" eb="2">
      <t>ゲンブツ</t>
    </rPh>
    <rPh sb="3" eb="4">
      <t>アズカ</t>
    </rPh>
    <rPh sb="5" eb="6">
      <t>カブ</t>
    </rPh>
    <rPh sb="6" eb="8">
      <t>イチラン</t>
    </rPh>
    <phoneticPr fontId="1"/>
  </si>
  <si>
    <t>CLMGenbutuKabuList</t>
  </si>
  <si>
    <t>現物_買い注文</t>
    <rPh sb="0" eb="2">
      <t>ゲンブツ</t>
    </rPh>
    <rPh sb="3" eb="4">
      <t>カ</t>
    </rPh>
    <rPh sb="5" eb="7">
      <t>チュウモン</t>
    </rPh>
    <phoneticPr fontId="1"/>
  </si>
  <si>
    <t>order_gen_buy</t>
    <phoneticPr fontId="1"/>
  </si>
  <si>
    <t>現物_取消</t>
  </si>
  <si>
    <t>cancel_order</t>
  </si>
  <si>
    <t>cancel_all_order</t>
  </si>
  <si>
    <t>現物_訂正</t>
  </si>
  <si>
    <t>現物_売り注文</t>
  </si>
  <si>
    <t>order_gen_sell</t>
  </si>
  <si>
    <t>注）取消は、現物信用の区別がない。</t>
    <rPh sb="0" eb="1">
      <t>チュウ</t>
    </rPh>
    <rPh sb="2" eb="4">
      <t>トリケシ</t>
    </rPh>
    <rPh sb="6" eb="10">
      <t>ゲンブツシンヨウ</t>
    </rPh>
    <rPh sb="11" eb="13">
      <t>クベツ</t>
    </rPh>
    <phoneticPr fontId="1"/>
  </si>
  <si>
    <t>注）訂正は、現物信用の区別がない。</t>
    <rPh sb="0" eb="1">
      <t>チュウ</t>
    </rPh>
    <rPh sb="2" eb="4">
      <t>テイセイ</t>
    </rPh>
    <rPh sb="6" eb="10">
      <t>ゲンブツシンヨウ</t>
    </rPh>
    <rPh sb="11" eb="13">
      <t>クベツ</t>
    </rPh>
    <phoneticPr fontId="1"/>
  </si>
  <si>
    <t>注）一括取消は、現物信用の区別がない。</t>
    <rPh sb="0" eb="1">
      <t>チュウ</t>
    </rPh>
    <rPh sb="2" eb="4">
      <t>イッカツ</t>
    </rPh>
    <rPh sb="4" eb="6">
      <t>トリケシ</t>
    </rPh>
    <rPh sb="8" eb="12">
      <t>ゲンブツシンヨウ</t>
    </rPh>
    <rPh sb="13" eb="15">
      <t>クベツ</t>
    </rPh>
    <phoneticPr fontId="1"/>
  </si>
  <si>
    <t>信用_新規_買い注文</t>
  </si>
  <si>
    <t>order_shinki_buy</t>
  </si>
  <si>
    <t>10.銘柄コード sIssueCode</t>
    <phoneticPr fontId="1"/>
  </si>
  <si>
    <t>11.市場 sSizyouC</t>
    <phoneticPr fontId="1"/>
  </si>
  <si>
    <t>13.執行条件 sCondition</t>
    <phoneticPr fontId="1"/>
  </si>
  <si>
    <t>14.注文値段 sOrderPrice</t>
    <phoneticPr fontId="1"/>
  </si>
  <si>
    <t>15.注文数量 sOrderSuryou</t>
    <phoneticPr fontId="1"/>
  </si>
  <si>
    <t>信用_新規_売り注文</t>
    <rPh sb="6" eb="7">
      <t>ウ</t>
    </rPh>
    <phoneticPr fontId="1"/>
  </si>
  <si>
    <t>order_shinki_sell</t>
    <phoneticPr fontId="1"/>
  </si>
  <si>
    <t>信用_返済_買い注文</t>
    <rPh sb="3" eb="5">
      <t>ヘンサイ</t>
    </rPh>
    <phoneticPr fontId="1"/>
  </si>
  <si>
    <t>order_hensai_buy</t>
    <phoneticPr fontId="1"/>
  </si>
  <si>
    <t>信用_返済_売り注文</t>
    <rPh sb="3" eb="5">
      <t>ヘンサイ</t>
    </rPh>
    <rPh sb="6" eb="7">
      <t>ウ</t>
    </rPh>
    <phoneticPr fontId="1"/>
  </si>
  <si>
    <t>order_hensai_sell</t>
    <phoneticPr fontId="1"/>
  </si>
  <si>
    <t>信用_建玉一覧</t>
    <rPh sb="0" eb="2">
      <t>シンヨウ</t>
    </rPh>
    <rPh sb="3" eb="5">
      <t>タテギョク</t>
    </rPh>
    <rPh sb="5" eb="7">
      <t>イチラン</t>
    </rPh>
    <phoneticPr fontId="1"/>
  </si>
  <si>
    <t>get_CLMShinyouTategyokuList</t>
  </si>
  <si>
    <t>銘柄コード：指定銘柄のみ取得</t>
    <rPh sb="0" eb="2">
      <t>メイガラ</t>
    </rPh>
    <rPh sb="6" eb="10">
      <t>シテイメイガラ</t>
    </rPh>
    <rPh sb="12" eb="14">
      <t>シュトク</t>
    </rPh>
    <phoneticPr fontId="1"/>
  </si>
  <si>
    <t>空欄：全建玉の取得</t>
    <rPh sb="0" eb="1">
      <t>クウラン</t>
    </rPh>
    <rPh sb="3" eb="4">
      <t>ゼン</t>
    </rPh>
    <rPh sb="4" eb="6">
      <t>タテギョク</t>
    </rPh>
    <rPh sb="6" eb="8">
      <t>シュトク</t>
    </rPh>
    <phoneticPr fontId="1"/>
  </si>
  <si>
    <t>注2）建日順の返済。</t>
    <rPh sb="0" eb="1">
      <t>チュウ</t>
    </rPh>
    <rPh sb="3" eb="4">
      <t>タ</t>
    </rPh>
    <rPh sb="4" eb="5">
      <t>ヒ</t>
    </rPh>
    <rPh sb="5" eb="6">
      <t>ジュン</t>
    </rPh>
    <rPh sb="7" eb="9">
      <t>ヘンサイ</t>
    </rPh>
    <phoneticPr fontId="1"/>
  </si>
  <si>
    <t>注1）制度信用6ヶ月の注文。一般信用はパラメーターの修正が必要。</t>
    <rPh sb="0" eb="1">
      <t>チュウ</t>
    </rPh>
    <rPh sb="11" eb="13">
      <t>チュウモン</t>
    </rPh>
    <rPh sb="14" eb="18">
      <t>イッパンシンヨウ</t>
    </rPh>
    <rPh sb="26" eb="28">
      <t>シュウセイ</t>
    </rPh>
    <rPh sb="29" eb="31">
      <t>ヒツヨウ</t>
    </rPh>
    <phoneticPr fontId="1"/>
  </si>
  <si>
    <t>新規建玉番号</t>
  </si>
  <si>
    <t>建日順位</t>
  </si>
  <si>
    <t>注文数量</t>
  </si>
  <si>
    <t>CLMShinyouTategyokuListのsOrderTategyokuNumber</t>
  </si>
  <si>
    <t>sTatebiZyuni</t>
  </si>
  <si>
    <t>sOrderSuryou</t>
  </si>
  <si>
    <t>CLMShinyouTategyokuList</t>
  </si>
  <si>
    <t>↑APIの建玉一覧で取得する</t>
    <rPh sb="5" eb="9">
      <t>タテギョクイチラン</t>
    </rPh>
    <rPh sb="10" eb="12">
      <t>シュトク</t>
    </rPh>
    <phoneticPr fontId="1"/>
  </si>
  <si>
    <t xml:space="preserve">28.返済リスト aCLMKabuHensaiData </t>
    <phoneticPr fontId="1"/>
  </si>
  <si>
    <t>データ入力セル</t>
    <rPh sb="3" eb="5">
      <t>ニュウリョク</t>
    </rPh>
    <phoneticPr fontId="1"/>
  </si>
  <si>
    <t>注文のプログラムは、実際に発注しますので、市場で約定した場合取り消せません。十分に注意してご利用ください。</t>
    <rPh sb="0" eb="2">
      <t>チュウモン</t>
    </rPh>
    <rPh sb="10" eb="12">
      <t>ジッサイ</t>
    </rPh>
    <rPh sb="13" eb="15">
      <t>ハッチュウ</t>
    </rPh>
    <rPh sb="21" eb="23">
      <t>シジョウ</t>
    </rPh>
    <rPh sb="24" eb="26">
      <t>ヤクジョウ</t>
    </rPh>
    <rPh sb="28" eb="30">
      <t>バアイ</t>
    </rPh>
    <rPh sb="30" eb="31">
      <t>ト</t>
    </rPh>
    <rPh sb="32" eb="33">
      <t>ケ</t>
    </rPh>
    <rPh sb="38" eb="40">
      <t>ジュウブン</t>
    </rPh>
    <rPh sb="41" eb="43">
      <t>チュウイ</t>
    </rPh>
    <rPh sb="46" eb="48">
      <t>リヨウ</t>
    </rPh>
    <phoneticPr fontId="1"/>
  </si>
  <si>
    <t>Login</t>
  </si>
  <si>
    <t>Logout</t>
    <phoneticPr fontId="1"/>
  </si>
  <si>
    <t>現物_一括取消</t>
    <rPh sb="0" eb="2">
      <t>ゲンブツ</t>
    </rPh>
    <rPh sb="3" eb="7">
      <t>イッカツトリケシ</t>
    </rPh>
    <phoneticPr fontId="1"/>
  </si>
  <si>
    <t>現物_買い注文</t>
  </si>
  <si>
    <t>現物_預り株一覧</t>
  </si>
  <si>
    <t>照会_現物_買付可能額</t>
  </si>
  <si>
    <t>照会_注文約定一覧</t>
  </si>
  <si>
    <t>get_CLMOrderList</t>
  </si>
  <si>
    <t>照会_注文約定一覧_詳細</t>
  </si>
  <si>
    <t>get_CLMOrderListDetail</t>
  </si>
  <si>
    <t>信用_建玉一覧</t>
  </si>
  <si>
    <t>信用_新規_売り注文</t>
  </si>
  <si>
    <t>order_shinki_sell</t>
  </si>
  <si>
    <t>信用_返済_買い注文</t>
  </si>
  <si>
    <t>order_hensai_buy</t>
  </si>
  <si>
    <t>信用_返済_売り注文</t>
  </si>
  <si>
    <t>order_hensai_sell</t>
  </si>
  <si>
    <t>信用_返済_売り注文_個別指定</t>
  </si>
  <si>
    <t>order_hensai_sell_aCLMKabuHensaiData</t>
  </si>
  <si>
    <t>個別機能</t>
    <rPh sb="0" eb="4">
      <t>コベツキノウ</t>
    </rPh>
    <phoneticPr fontId="1"/>
  </si>
  <si>
    <t>標準モジュール オブジェクト名</t>
    <rPh sb="0" eb="2">
      <t>ヒョウジュン</t>
    </rPh>
    <rPh sb="14" eb="15">
      <t>メイ</t>
    </rPh>
    <phoneticPr fontId="1"/>
  </si>
  <si>
    <t>シート名</t>
    <rPh sb="3" eb="4">
      <t>メイ</t>
    </rPh>
    <phoneticPr fontId="1"/>
  </si>
  <si>
    <t>現物</t>
    <rPh sb="0" eb="2">
      <t>ゲンブツ</t>
    </rPh>
    <phoneticPr fontId="1"/>
  </si>
  <si>
    <t>プロシージャー名</t>
    <rPh sb="7" eb="8">
      <t>メイ</t>
    </rPh>
    <phoneticPr fontId="1"/>
  </si>
  <si>
    <t>func_login</t>
  </si>
  <si>
    <t>func_logout</t>
  </si>
  <si>
    <t>correct_order</t>
  </si>
  <si>
    <t>correct_order</t>
    <phoneticPr fontId="1"/>
  </si>
  <si>
    <t>order_gen_buy</t>
  </si>
  <si>
    <t>get_CLMGenbutuKabuList</t>
  </si>
  <si>
    <t>get_CLMZanKaiKanougaku</t>
  </si>
  <si>
    <t>get_CLMZanShinkiKanoIjiritu</t>
  </si>
  <si>
    <t>照会</t>
    <rPh sb="0" eb="2">
      <t>ショウカイ</t>
    </rPh>
    <phoneticPr fontId="1"/>
  </si>
  <si>
    <t>信用</t>
    <rPh sb="0" eb="2">
      <t>シンヨウ</t>
    </rPh>
    <phoneticPr fontId="1"/>
  </si>
  <si>
    <t>信用_返済_買い注文_個別指定</t>
    <rPh sb="6" eb="7">
      <t>カ</t>
    </rPh>
    <phoneticPr fontId="1"/>
  </si>
  <si>
    <t>order_hensai_buy_aCLMKabuHensaiData</t>
  </si>
  <si>
    <t>order_hensai_buy_aCLMKabuHensaiData</t>
    <phoneticPr fontId="1"/>
  </si>
  <si>
    <t>信用_返済_買い注文_個別指定</t>
    <rPh sb="3" eb="5">
      <t>ヘンサイ</t>
    </rPh>
    <rPh sb="6" eb="7">
      <t>カ</t>
    </rPh>
    <rPh sb="11" eb="15">
      <t>コベツシテイ</t>
    </rPh>
    <phoneticPr fontId="1"/>
  </si>
  <si>
    <t>信用_返済_売り注文_個別指定</t>
    <rPh sb="3" eb="5">
      <t>ヘンサイ</t>
    </rPh>
    <rPh sb="6" eb="7">
      <t>ウ</t>
    </rPh>
    <phoneticPr fontId="1"/>
  </si>
  <si>
    <t>↑標準Webで返済の「優先順位」</t>
    <rPh sb="1" eb="3">
      <t>ヒョウジュン</t>
    </rPh>
    <rPh sb="7" eb="9">
      <t>ヘンサイ</t>
    </rPh>
    <rPh sb="11" eb="15">
      <t>ユウセンジュンイ</t>
    </rPh>
    <phoneticPr fontId="1"/>
  </si>
  <si>
    <t>OS（Microsoft Windows）のバージョンや EXCEL のバージョンの組み合わせ、またはパッチのバージョン、ご利用のPC（メーカ等々）の</t>
    <rPh sb="42" eb="43">
      <t>ク</t>
    </rPh>
    <rPh sb="44" eb="45">
      <t>ア</t>
    </rPh>
    <rPh sb="62" eb="64">
      <t>リヨウ</t>
    </rPh>
    <rPh sb="71" eb="73">
      <t>ナドナド</t>
    </rPh>
    <phoneticPr fontId="1"/>
  </si>
  <si>
    <t>入力セル、出力セルの色分け</t>
    <rPh sb="0" eb="2">
      <t>ニュウリョク</t>
    </rPh>
    <rPh sb="5" eb="7">
      <t>シュツリョク</t>
    </rPh>
    <rPh sb="10" eb="12">
      <t>イロワ</t>
    </rPh>
    <phoneticPr fontId="1"/>
  </si>
  <si>
    <t>レスポンス出力セル</t>
    <rPh sb="5" eb="7">
      <t>シュツリョク</t>
    </rPh>
    <phoneticPr fontId="1"/>
  </si>
  <si>
    <t xml:space="preserve"> </t>
  </si>
  <si>
    <t>本プログラムはMIT Licenseの範囲内で自由にご利用ください。</t>
  </si>
  <si>
    <t>シート「api_応答」に、APIへの送信テキストと返信データを出力します。</t>
  </si>
  <si>
    <t>5: 具体的な項目名+改行インデントで表示。</t>
    <rPh sb="3" eb="6">
      <t>グタイテキ</t>
    </rPh>
    <rPh sb="7" eb="10">
      <t>コウモクメイ</t>
    </rPh>
    <rPh sb="11" eb="13">
      <t>カイギョウ</t>
    </rPh>
    <rPh sb="19" eb="21">
      <t>ヒョウジ</t>
    </rPh>
    <phoneticPr fontId="1"/>
  </si>
  <si>
    <t>入力項目は、APIの注文約定一覧でも取得できる。</t>
    <rPh sb="0" eb="4">
      <t>ニュウリョクコウモク</t>
    </rPh>
    <rPh sb="10" eb="16">
      <t>チュウモンヤクジョウイチラン</t>
    </rPh>
    <rPh sb="18" eb="20">
      <t>シュトク</t>
    </rPh>
    <phoneticPr fontId="1"/>
  </si>
  <si>
    <t>stock_code</t>
  </si>
  <si>
    <t>pDPP</t>
  </si>
  <si>
    <t>tDPP:T</t>
  </si>
  <si>
    <t>pDYWP</t>
  </si>
  <si>
    <t>pDYRP</t>
  </si>
  <si>
    <t>pQAS</t>
  </si>
  <si>
    <t>pQAP</t>
  </si>
  <si>
    <t>pAV</t>
  </si>
  <si>
    <t>pQBS</t>
  </si>
  <si>
    <t>pQBP</t>
  </si>
  <si>
    <t>pBV</t>
  </si>
  <si>
    <t>xLISS</t>
  </si>
  <si>
    <t>所属</t>
  </si>
  <si>
    <t>現在値</t>
  </si>
  <si>
    <t>現在値時刻</t>
  </si>
  <si>
    <t>pDPG</t>
  </si>
  <si>
    <t>現値前値比較</t>
  </si>
  <si>
    <t>前日比</t>
  </si>
  <si>
    <t>騰落率</t>
  </si>
  <si>
    <t>pDOP</t>
  </si>
  <si>
    <t>始値</t>
  </si>
  <si>
    <t>tDOP:T</t>
  </si>
  <si>
    <t>始値時刻</t>
  </si>
  <si>
    <t>pDHP</t>
  </si>
  <si>
    <t>高値</t>
  </si>
  <si>
    <t>tDHP:T</t>
  </si>
  <si>
    <t>高値時刻</t>
  </si>
  <si>
    <t>pDLP</t>
  </si>
  <si>
    <t>安値</t>
  </si>
  <si>
    <t>tDLP:T</t>
  </si>
  <si>
    <t>安値時刻</t>
  </si>
  <si>
    <t>pDV</t>
  </si>
  <si>
    <t>出来高</t>
  </si>
  <si>
    <t>売気配値種類</t>
  </si>
  <si>
    <t>売気配値</t>
  </si>
  <si>
    <t>売気配数量</t>
  </si>
  <si>
    <t>買気配値種類</t>
  </si>
  <si>
    <t>買気配値</t>
  </si>
  <si>
    <t>買気配数量</t>
  </si>
  <si>
    <t>xDVES</t>
  </si>
  <si>
    <t>配当落銘柄区分</t>
  </si>
  <si>
    <t>xDCFS</t>
  </si>
  <si>
    <t>不連続要因銘柄区分</t>
  </si>
  <si>
    <t>pDHF</t>
  </si>
  <si>
    <t>日通し高値フラグ</t>
  </si>
  <si>
    <t>pDLF</t>
  </si>
  <si>
    <t>日通し安値フラグ</t>
  </si>
  <si>
    <t>pDJ</t>
  </si>
  <si>
    <t>売買代金</t>
  </si>
  <si>
    <t>pAAV</t>
  </si>
  <si>
    <t>売数量（成行）</t>
  </si>
  <si>
    <t>pABV</t>
  </si>
  <si>
    <t>買数量（成行）</t>
  </si>
  <si>
    <t>pQOV</t>
  </si>
  <si>
    <t>売-OVER</t>
  </si>
  <si>
    <t>pGAV10</t>
  </si>
  <si>
    <t>売-１０-数量</t>
  </si>
  <si>
    <t>pGAP10</t>
  </si>
  <si>
    <t>売-１０-値段</t>
  </si>
  <si>
    <t>pGAV9</t>
  </si>
  <si>
    <t>売-９-数量</t>
  </si>
  <si>
    <t>pGAP9</t>
  </si>
  <si>
    <t>売-９-値段</t>
  </si>
  <si>
    <t>pGAV8</t>
  </si>
  <si>
    <t>売-８-数量</t>
  </si>
  <si>
    <t>pGAP8</t>
  </si>
  <si>
    <t>売-８-値段</t>
  </si>
  <si>
    <t>pGAV7</t>
  </si>
  <si>
    <t>売-７-数量</t>
  </si>
  <si>
    <t>pGAP7</t>
  </si>
  <si>
    <t>売-７-値段</t>
  </si>
  <si>
    <t>pGAV6</t>
  </si>
  <si>
    <t>売-６-数量</t>
  </si>
  <si>
    <t>pGAP6</t>
  </si>
  <si>
    <t>売-６-値段</t>
  </si>
  <si>
    <t>pGAV5</t>
  </si>
  <si>
    <t>売-５-数量</t>
  </si>
  <si>
    <t>pGAP5</t>
  </si>
  <si>
    <t>売-５-値段</t>
  </si>
  <si>
    <t>pGAV4</t>
  </si>
  <si>
    <t>売-４-数量</t>
  </si>
  <si>
    <t>pGAP4</t>
  </si>
  <si>
    <t>売-４-値段</t>
  </si>
  <si>
    <t>pGAV3</t>
  </si>
  <si>
    <t>売-３-数量</t>
  </si>
  <si>
    <t>pGAP3</t>
  </si>
  <si>
    <t>売-３-値段</t>
  </si>
  <si>
    <t>pGAV2</t>
  </si>
  <si>
    <t>売-２-数量</t>
  </si>
  <si>
    <t>pGAP2</t>
  </si>
  <si>
    <t>売-２-値段</t>
  </si>
  <si>
    <t>pGAV1</t>
  </si>
  <si>
    <t>売-１-数量</t>
  </si>
  <si>
    <t>pGAP1</t>
  </si>
  <si>
    <t>売-１-値段</t>
  </si>
  <si>
    <t>pGBV1</t>
  </si>
  <si>
    <t>買-１-数量</t>
  </si>
  <si>
    <t>pGBP1</t>
  </si>
  <si>
    <t>買-１-値段</t>
  </si>
  <si>
    <t>pGBV2</t>
  </si>
  <si>
    <t>買-２-数量</t>
  </si>
  <si>
    <t>pGBP2</t>
  </si>
  <si>
    <t>買-２-値段</t>
  </si>
  <si>
    <t>pGBV3</t>
  </si>
  <si>
    <t>買-３-数量</t>
  </si>
  <si>
    <t>pGBP3</t>
  </si>
  <si>
    <t>買-３-値段</t>
  </si>
  <si>
    <t>pGBV4</t>
  </si>
  <si>
    <t>買-４-数量</t>
  </si>
  <si>
    <t>pGBP4</t>
  </si>
  <si>
    <t>買-４-値段</t>
  </si>
  <si>
    <t>pGBV5</t>
  </si>
  <si>
    <t>買-５-数量</t>
  </si>
  <si>
    <t>pGBP5</t>
  </si>
  <si>
    <t>買-５-値段</t>
  </si>
  <si>
    <t>pGBV6</t>
  </si>
  <si>
    <t>買-６-数量</t>
  </si>
  <si>
    <t>pGBP6</t>
  </si>
  <si>
    <t>買-６-値段</t>
  </si>
  <si>
    <t>pGBV7</t>
  </si>
  <si>
    <t>買-７-数量</t>
  </si>
  <si>
    <t>pGBP7</t>
  </si>
  <si>
    <t>買-７-値段</t>
  </si>
  <si>
    <t>pGBV8</t>
  </si>
  <si>
    <t>買-８-数量</t>
  </si>
  <si>
    <t>pGBP8</t>
  </si>
  <si>
    <t>買-８-値段</t>
  </si>
  <si>
    <t>pGBV9</t>
  </si>
  <si>
    <t>買-９-数量</t>
  </si>
  <si>
    <t>pGBP9</t>
  </si>
  <si>
    <t>買-９-値段</t>
  </si>
  <si>
    <t>pGBV10</t>
  </si>
  <si>
    <t>買-１０-数量</t>
  </si>
  <si>
    <t>pGBP10</t>
  </si>
  <si>
    <t>買-１０-値段</t>
  </si>
  <si>
    <t>pQUV</t>
  </si>
  <si>
    <t>買-UNDER</t>
  </si>
  <si>
    <t>pVWAP</t>
  </si>
  <si>
    <t>VWAP</t>
  </si>
  <si>
    <t>pPRP</t>
  </si>
  <si>
    <t>前日終値</t>
  </si>
  <si>
    <t>No</t>
    <phoneticPr fontId="1"/>
  </si>
  <si>
    <t>情報コード</t>
    <phoneticPr fontId="1"/>
  </si>
  <si>
    <t>名前</t>
    <phoneticPr fontId="1"/>
  </si>
  <si>
    <t>型</t>
    <rPh sb="0" eb="1">
      <t>カタ</t>
    </rPh>
    <phoneticPr fontId="1"/>
  </si>
  <si>
    <t>型＋情報コード</t>
    <rPh sb="0" eb="1">
      <t>カタ</t>
    </rPh>
    <phoneticPr fontId="1"/>
  </si>
  <si>
    <t>型＋情報コード</t>
  </si>
  <si>
    <t>株価_スナップショット</t>
    <rPh sb="0" eb="2">
      <t>カブカ</t>
    </rPh>
    <phoneticPr fontId="1"/>
  </si>
  <si>
    <t>株価_日足データ</t>
    <rPh sb="0" eb="2">
      <t>カブカ</t>
    </rPh>
    <rPh sb="3" eb="5">
      <t>ヒアシ</t>
    </rPh>
    <phoneticPr fontId="1"/>
  </si>
  <si>
    <t>2.銘柄コード</t>
    <phoneticPr fontId="1"/>
  </si>
  <si>
    <t>3.市場</t>
    <phoneticPr fontId="1"/>
  </si>
  <si>
    <t>通常銘柄、4桁。優先株等、5桁。例、伊藤園'2593'、伊藤園優先株'25935'</t>
  </si>
  <si>
    <t>CLMMfdsGetMarketPriceHistory</t>
  </si>
  <si>
    <t>「型＋情報コード」「銘柄コード」共に連続して入力してある項目まで時価情報を取得します。</t>
    <rPh sb="1" eb="2">
      <t>カタ</t>
    </rPh>
    <rPh sb="3" eb="5">
      <t>ジョウホウ</t>
    </rPh>
    <rPh sb="10" eb="12">
      <t>メイガラ</t>
    </rPh>
    <rPh sb="16" eb="17">
      <t>トモ</t>
    </rPh>
    <rPh sb="18" eb="20">
      <t>レンゾク</t>
    </rPh>
    <rPh sb="22" eb="24">
      <t>ニュウリョク</t>
    </rPh>
    <rPh sb="28" eb="30">
      <t>コウモク</t>
    </rPh>
    <rPh sb="32" eb="36">
      <t>ジカジョウホウ</t>
    </rPh>
    <rPh sb="37" eb="39">
      <t>シュトク</t>
    </rPh>
    <phoneticPr fontId="1"/>
  </si>
  <si>
    <t>注）</t>
    <rPh sb="0" eb="1">
      <t>チュウ</t>
    </rPh>
    <phoneticPr fontId="1"/>
  </si>
  <si>
    <t>00</t>
    <phoneticPr fontId="1"/>
  </si>
  <si>
    <t>日足データは「結果」シートに出力。</t>
    <rPh sb="0" eb="2">
      <t>ヒアシ</t>
    </rPh>
    <rPh sb="7" eb="9">
      <t>ケッカ</t>
    </rPh>
    <rPh sb="14" eb="16">
      <t>シュツリョク</t>
    </rPh>
    <phoneticPr fontId="1"/>
  </si>
  <si>
    <t>株価データは「結果」シートに出力。</t>
    <rPh sb="0" eb="2">
      <t>カブカ</t>
    </rPh>
    <rPh sb="7" eb="9">
      <t>ケッカ</t>
    </rPh>
    <rPh sb="14" eb="16">
      <t>シュツリョク</t>
    </rPh>
    <phoneticPr fontId="1"/>
  </si>
  <si>
    <t>←←</t>
    <phoneticPr fontId="1"/>
  </si>
  <si>
    <t>連続で入っているものまで取得する。</t>
    <rPh sb="0" eb="2">
      <t>レンゾク</t>
    </rPh>
    <rPh sb="3" eb="4">
      <t>ハイ</t>
    </rPh>
    <rPh sb="12" eb="14">
      <t>シュトク</t>
    </rPh>
    <phoneticPr fontId="1"/>
  </si>
  <si>
    <t>↑</t>
    <phoneticPr fontId="1"/>
  </si>
  <si>
    <t>列９のコード一覧表への参照式でも可能。</t>
    <rPh sb="0" eb="1">
      <t>レツ</t>
    </rPh>
    <rPh sb="6" eb="9">
      <t>イチランヒョウ</t>
    </rPh>
    <rPh sb="11" eb="14">
      <t>サンショウシキ</t>
    </rPh>
    <rPh sb="16" eb="18">
      <t>カノウ</t>
    </rPh>
    <phoneticPr fontId="1"/>
  </si>
  <si>
    <t>銘柄コードは列１４に記入する。</t>
    <rPh sb="0" eb="2">
      <t>メイガラ</t>
    </rPh>
    <rPh sb="10" eb="12">
      <t>キニュウ</t>
    </rPh>
    <phoneticPr fontId="1"/>
  </si>
  <si>
    <t>取得する「型＋情報コード」は行３に記入する。連続で入っている項目まで取得する。</t>
    <rPh sb="0" eb="2">
      <t>シュトク</t>
    </rPh>
    <rPh sb="5" eb="6">
      <t>カタ</t>
    </rPh>
    <rPh sb="7" eb="9">
      <t>ジョウホウ</t>
    </rPh>
    <rPh sb="14" eb="15">
      <t>ギョウ</t>
    </rPh>
    <rPh sb="17" eb="19">
      <t>キニュウ</t>
    </rPh>
    <rPh sb="22" eb="24">
      <t>レンゾク</t>
    </rPh>
    <rPh sb="25" eb="26">
      <t>ハイ</t>
    </rPh>
    <rPh sb="30" eb="32">
      <t>コウモク</t>
    </rPh>
    <rPh sb="34" eb="36">
      <t>シュトク</t>
    </rPh>
    <phoneticPr fontId="1"/>
  </si>
  <si>
    <t>株価</t>
    <rPh sb="0" eb="2">
      <t>カブカ</t>
    </rPh>
    <phoneticPr fontId="1"/>
  </si>
  <si>
    <t>日足データ取得</t>
    <rPh sb="0" eb="2">
      <t>ヒアシ</t>
    </rPh>
    <rPh sb="5" eb="7">
      <t>シュトク</t>
    </rPh>
    <phoneticPr fontId="1"/>
  </si>
  <si>
    <t>スナップショット</t>
    <phoneticPr fontId="1"/>
  </si>
  <si>
    <t>get_CLMMfdsGetMarketPriceHistory</t>
  </si>
  <si>
    <t>get_CLMMfdsGetMarketPrice</t>
  </si>
  <si>
    <t>シート「結果」に取得情報を適宜表示します。</t>
    <rPh sb="4" eb="6">
      <t>ケッカ</t>
    </rPh>
    <rPh sb="8" eb="12">
      <t>シュトクジョウホウ</t>
    </rPh>
    <rPh sb="13" eb="15">
      <t>テキギ</t>
    </rPh>
    <rPh sb="15" eb="17">
      <t>ヒョウジ</t>
    </rPh>
    <phoneticPr fontId="1"/>
  </si>
  <si>
    <t>（サンプルプログラムでは、5のみ利用可能）</t>
    <rPh sb="16" eb="20">
      <t>リヨウカノウ</t>
    </rPh>
    <phoneticPr fontId="1"/>
  </si>
  <si>
    <t>CLMMfdsGetMarketPrice</t>
  </si>
  <si>
    <t>マスター</t>
    <phoneticPr fontId="1"/>
  </si>
  <si>
    <t>このソフトウェアを使用したことによって生じたすべての障害・損害・不具合等に関して、</t>
    <phoneticPr fontId="1"/>
  </si>
  <si>
    <t>私と私の関係者および私の所属するいかなる団体・組織とも、一切の責任を負いません。</t>
    <phoneticPr fontId="1"/>
  </si>
  <si>
    <t>各自の責任においてご使用ください。</t>
  </si>
  <si>
    <t>https://www.e-shiten.jp/api/</t>
  </si>
  <si>
    <t>https://www.e-shiten.jp/e_api/mfds_json_api_menu.html</t>
  </si>
  <si>
    <t>ｅ支店・ＡＰＩのご利用については専用ページを参照願います。</t>
    <rPh sb="0" eb="3">
      <t>エシテン</t>
    </rPh>
    <rPh sb="9" eb="11">
      <t>リヨウ</t>
    </rPh>
    <rPh sb="16" eb="18">
      <t>センヨウ</t>
    </rPh>
    <rPh sb="22" eb="24">
      <t>サンショウ</t>
    </rPh>
    <rPh sb="24" eb="25">
      <t>ネガ</t>
    </rPh>
    <phoneticPr fontId="1"/>
  </si>
  <si>
    <t>p_no</t>
    <phoneticPr fontId="1"/>
  </si>
  <si>
    <t>ログイン</t>
    <phoneticPr fontId="1"/>
  </si>
  <si>
    <t>ログイン</t>
    <phoneticPr fontId="1"/>
  </si>
  <si>
    <t>exec_CLMAuthLoginRequest</t>
    <phoneticPr fontId="1"/>
  </si>
  <si>
    <t>口座情報</t>
    <rPh sb="0" eb="4">
      <t>コウザジョウホウ</t>
    </rPh>
    <phoneticPr fontId="1"/>
  </si>
  <si>
    <t>p_err</t>
    <phoneticPr fontId="1"/>
  </si>
  <si>
    <t>APIからの返信</t>
  </si>
  <si>
    <t>exec_CLMAuthLogoutRequest</t>
    <phoneticPr fontId="1"/>
  </si>
  <si>
    <t>ログイン情報（API応答）</t>
    <rPh sb="4" eb="6">
      <t>ジョウホウ</t>
    </rPh>
    <rPh sb="10" eb="12">
      <t>オウトウ</t>
    </rPh>
    <phoneticPr fontId="1"/>
  </si>
  <si>
    <t>ログイン結果</t>
    <rPh sb="4" eb="6">
      <t>ケッカ</t>
    </rPh>
    <phoneticPr fontId="1"/>
  </si>
  <si>
    <t>sCLMID</t>
    <phoneticPr fontId="1"/>
  </si>
  <si>
    <t>p_errno</t>
    <phoneticPr fontId="1"/>
  </si>
  <si>
    <t>sResultCode</t>
    <phoneticPr fontId="1"/>
  </si>
  <si>
    <t>sResultText</t>
    <phoneticPr fontId="1"/>
  </si>
  <si>
    <t>書面更新日：
sUpdateInformWebDocument</t>
    <rPh sb="0" eb="5">
      <t>ショメンコウシンビ</t>
    </rPh>
    <phoneticPr fontId="1"/>
  </si>
  <si>
    <t>API更新日：
sUpdateInformAPISpecFunction</t>
    <rPh sb="3" eb="6">
      <t>コウシンビ</t>
    </rPh>
    <phoneticPr fontId="1"/>
  </si>
  <si>
    <t>p_no保存</t>
    <rPh sb="4" eb="6">
      <t>ホゾン</t>
    </rPh>
    <phoneticPr fontId="1"/>
  </si>
  <si>
    <t>p_no</t>
    <phoneticPr fontId="1"/>
  </si>
  <si>
    <t>sResultText</t>
    <phoneticPr fontId="1"/>
  </si>
  <si>
    <t>p_errno</t>
    <phoneticPr fontId="1"/>
  </si>
  <si>
    <t>p_sd_date</t>
    <phoneticPr fontId="1"/>
  </si>
  <si>
    <t>CLMKabuCancelOrder</t>
  </si>
  <si>
    <t>注文_訂正</t>
    <rPh sb="0" eb="2">
      <t>チュウモン</t>
    </rPh>
    <phoneticPr fontId="1"/>
  </si>
  <si>
    <t>注文_一括取消</t>
    <rPh sb="0" eb="2">
      <t>チュウモン</t>
    </rPh>
    <phoneticPr fontId="1"/>
  </si>
  <si>
    <t>注文_取消</t>
    <rPh sb="0" eb="2">
      <t>チュウモン</t>
    </rPh>
    <phoneticPr fontId="1"/>
  </si>
  <si>
    <t>p_errno= 0: 正常に注文が処理された。0以外: 注文がエラーとなった。</t>
    <rPh sb="12" eb="14">
      <t>セイジョウ</t>
    </rPh>
    <rPh sb="15" eb="17">
      <t>チュウモン</t>
    </rPh>
    <rPh sb="18" eb="20">
      <t>ショリ</t>
    </rPh>
    <rPh sb="25" eb="27">
      <t>イガイ</t>
    </rPh>
    <rPh sb="29" eb="31">
      <t>チュウモン</t>
    </rPh>
    <phoneticPr fontId="1"/>
  </si>
  <si>
    <t>p_no</t>
    <phoneticPr fontId="1"/>
  </si>
  <si>
    <t>sCLMID</t>
    <phoneticPr fontId="1"/>
  </si>
  <si>
    <t>sResultCode</t>
    <phoneticPr fontId="1"/>
  </si>
  <si>
    <t>sResultText</t>
    <phoneticPr fontId="1"/>
  </si>
  <si>
    <t>p_errno</t>
    <phoneticPr fontId="1"/>
  </si>
  <si>
    <t>p_err</t>
    <phoneticPr fontId="1"/>
  </si>
  <si>
    <t>sResultText</t>
    <phoneticPr fontId="1"/>
  </si>
  <si>
    <t>2025.12.06-18:47:05.199</t>
  </si>
  <si>
    <t>CLMOrderList</t>
  </si>
  <si>
    <t>照会_現物_買付可能額</t>
    <phoneticPr fontId="1"/>
  </si>
  <si>
    <t>照会_注文約定一覧</t>
    <rPh sb="3" eb="7">
      <t>チュウモンヤクジョウ</t>
    </rPh>
    <rPh sb="7" eb="9">
      <t>イチラン</t>
    </rPh>
    <phoneticPr fontId="1"/>
  </si>
  <si>
    <t>照会_注文約定_詳細</t>
    <rPh sb="3" eb="7">
      <t>チュウモンヤクジョウ</t>
    </rPh>
    <rPh sb="8" eb="10">
      <t>ショウサイ</t>
    </rPh>
    <phoneticPr fontId="1"/>
  </si>
  <si>
    <t>get_order_list</t>
  </si>
  <si>
    <t>get_order_list_detail</t>
    <phoneticPr fontId="1"/>
  </si>
  <si>
    <t>CLMZanKaiKanougaku</t>
  </si>
  <si>
    <t>2025.12.13-10:44:58.886</t>
  </si>
  <si>
    <t>p_no</t>
    <phoneticPr fontId="1"/>
  </si>
  <si>
    <t>p_sd_date</t>
    <phoneticPr fontId="1"/>
  </si>
  <si>
    <t>p_errno</t>
    <phoneticPr fontId="1"/>
  </si>
  <si>
    <t>p_err</t>
    <phoneticPr fontId="1"/>
  </si>
  <si>
    <t>2025.12.13-12:01:57.288</t>
  </si>
  <si>
    <t>p_no</t>
    <phoneticPr fontId="1"/>
  </si>
  <si>
    <t>p_sd_date</t>
    <phoneticPr fontId="1"/>
  </si>
  <si>
    <t>sCLMID</t>
    <phoneticPr fontId="1"/>
  </si>
  <si>
    <t>p_errno</t>
    <phoneticPr fontId="1"/>
  </si>
  <si>
    <t>sResultCode</t>
    <phoneticPr fontId="1"/>
  </si>
  <si>
    <t>sResultText</t>
    <phoneticPr fontId="1"/>
  </si>
  <si>
    <t>※株価データは「結果」シートに出力。</t>
    <rPh sb="1" eb="3">
      <t>カブカ</t>
    </rPh>
    <rPh sb="8" eb="10">
      <t>ケッカ</t>
    </rPh>
    <rPh sb="15" eb="17">
      <t>シュツリョク</t>
    </rPh>
    <phoneticPr fontId="1"/>
  </si>
  <si>
    <t>2025.12.17</t>
    <phoneticPr fontId="1"/>
  </si>
  <si>
    <t>Microsoft Windows11 Professional 64bit、EXCEL 2016.</t>
    <phoneticPr fontId="1"/>
  </si>
  <si>
    <t>最初にログインを実行してください。仮想URL等のログイン応答が「ログインシート」に保存されます。</t>
    <rPh sb="0" eb="2">
      <t>サイショ</t>
    </rPh>
    <rPh sb="8" eb="10">
      <t>ジッコウ</t>
    </rPh>
    <rPh sb="17" eb="19">
      <t>カソウ</t>
    </rPh>
    <rPh sb="22" eb="23">
      <t>トウ</t>
    </rPh>
    <rPh sb="28" eb="30">
      <t>オウトウ</t>
    </rPh>
    <rPh sb="41" eb="43">
      <t>ホゾン</t>
    </rPh>
    <phoneticPr fontId="1"/>
  </si>
  <si>
    <t>ログインを実行した後、シート「照会」「現物」「信用」等の各ボタンを押して起動してください。</t>
    <rPh sb="5" eb="7">
      <t>ジッコウ</t>
    </rPh>
    <rPh sb="9" eb="10">
      <t>アト</t>
    </rPh>
    <rPh sb="15" eb="17">
      <t>ショウカイ</t>
    </rPh>
    <rPh sb="19" eb="21">
      <t>ゲンブツ</t>
    </rPh>
    <rPh sb="23" eb="25">
      <t>シンヨウ</t>
    </rPh>
    <rPh sb="26" eb="27">
      <t>ナド</t>
    </rPh>
    <rPh sb="28" eb="29">
      <t>カク</t>
    </rPh>
    <rPh sb="33" eb="34">
      <t>オ</t>
    </rPh>
    <rPh sb="36" eb="38">
      <t>キドウ</t>
    </rPh>
    <phoneticPr fontId="1"/>
  </si>
  <si>
    <t>API：</t>
    <phoneticPr fontId="1"/>
  </si>
  <si>
    <t>sResultText</t>
    <phoneticPr fontId="1"/>
  </si>
  <si>
    <t>sCLMID</t>
    <phoneticPr fontId="1"/>
  </si>
  <si>
    <t>2025.12.23-08:40:09.574</t>
  </si>
  <si>
    <t>2025.12.23-08:42:06.351</t>
  </si>
  <si>
    <t>sResultCode</t>
    <phoneticPr fontId="1"/>
  </si>
  <si>
    <t>p_no</t>
    <phoneticPr fontId="1"/>
  </si>
  <si>
    <t>2025.12.23-09:21:22.362</t>
  </si>
  <si>
    <t>信用建玉明細にデータがありません</t>
  </si>
  <si>
    <t>p_no</t>
    <phoneticPr fontId="1"/>
  </si>
  <si>
    <t>p_sd_date</t>
    <phoneticPr fontId="1"/>
  </si>
  <si>
    <t>sCLMID</t>
    <phoneticPr fontId="1"/>
  </si>
  <si>
    <t>p_err</t>
    <phoneticPr fontId="1"/>
  </si>
  <si>
    <t>2025.12.23-09:26:12.167</t>
  </si>
  <si>
    <t>p_sd_date</t>
    <phoneticPr fontId="1"/>
  </si>
  <si>
    <t>p_errno</t>
    <phoneticPr fontId="1"/>
  </si>
  <si>
    <t>sResultCode</t>
    <phoneticPr fontId="1"/>
  </si>
  <si>
    <t>2025.12.23-09:26:34.880</t>
  </si>
  <si>
    <t>p_err</t>
    <phoneticPr fontId="1"/>
  </si>
  <si>
    <t>sResultCode</t>
    <phoneticPr fontId="1"/>
  </si>
  <si>
    <t>2025.12.23-09:28:46.879</t>
  </si>
  <si>
    <t>p_sd_date</t>
    <phoneticPr fontId="1"/>
  </si>
  <si>
    <t>sCLMID</t>
    <phoneticPr fontId="1"/>
  </si>
  <si>
    <t>　時間がかかりますのでご注意ください。</t>
    <rPh sb="12" eb="14">
      <t>チュウイ</t>
    </rPh>
    <phoneticPr fontId="1"/>
  </si>
  <si>
    <t>※マスター機能は、大量のデータを取得するため、</t>
    <rPh sb="5" eb="7">
      <t>キノウ</t>
    </rPh>
    <rPh sb="9" eb="11">
      <t>タイリョウ</t>
    </rPh>
    <rPh sb="16" eb="18">
      <t>シュトク</t>
    </rPh>
    <phoneticPr fontId="1"/>
  </si>
  <si>
    <t>本サンプルはｅ支店・ＡＰＩ の利用方法理解（学習）を主とした作成のため、不効率な部分があります。</t>
    <rPh sb="0" eb="1">
      <t>ホン</t>
    </rPh>
    <rPh sb="15" eb="17">
      <t>リヨウ</t>
    </rPh>
    <rPh sb="17" eb="19">
      <t>ホウホウ</t>
    </rPh>
    <rPh sb="19" eb="21">
      <t>リカイ</t>
    </rPh>
    <rPh sb="22" eb="24">
      <t>ガクシュウ</t>
    </rPh>
    <rPh sb="26" eb="27">
      <t>シュ</t>
    </rPh>
    <rPh sb="30" eb="32">
      <t>サクセイ</t>
    </rPh>
    <rPh sb="36" eb="39">
      <t>フコウリツ</t>
    </rPh>
    <rPh sb="40" eb="42">
      <t>ブブン</t>
    </rPh>
    <phoneticPr fontId="1"/>
  </si>
  <si>
    <t>ｅ支店・ＡＰＩの現行バージョンは v4r8 ですが、機能追加等々により逐次バージョンアップが想定されます。</t>
    <rPh sb="0" eb="3">
      <t>エシテン</t>
    </rPh>
    <rPh sb="8" eb="10">
      <t>ゲンコウ</t>
    </rPh>
    <rPh sb="26" eb="30">
      <t>キノウツイカ</t>
    </rPh>
    <rPh sb="30" eb="32">
      <t>トウトウ</t>
    </rPh>
    <rPh sb="35" eb="37">
      <t>チクジ</t>
    </rPh>
    <rPh sb="46" eb="48">
      <t>ソウテイ</t>
    </rPh>
    <phoneticPr fontId="1"/>
  </si>
  <si>
    <t>CLMAuthLogoutAck</t>
  </si>
  <si>
    <t>https://demo-kabuka.e-shiten.jp/e_api_v4r10/</t>
    <phoneticPr fontId="1"/>
  </si>
  <si>
    <t>2026.10.02-14:24:08.429</t>
  </si>
  <si>
    <t>p_no</t>
    <phoneticPr fontId="1"/>
  </si>
  <si>
    <t>sCLMID</t>
    <phoneticPr fontId="1"/>
  </si>
  <si>
    <t>sResultText</t>
    <phoneticPr fontId="1"/>
  </si>
  <si>
    <t>2026.10.02-14:26:51.482</t>
  </si>
  <si>
    <t>p_errno</t>
    <phoneticPr fontId="1"/>
  </si>
  <si>
    <t>2026.10.02-15:33:59.154</t>
  </si>
  <si>
    <t>p_no</t>
    <phoneticPr fontId="1"/>
  </si>
  <si>
    <t>p_sd_date</t>
    <phoneticPr fontId="1"/>
  </si>
  <si>
    <t>p_no</t>
    <phoneticPr fontId="1"/>
  </si>
  <si>
    <t>CLMStkGetIssueMstKabu</t>
  </si>
  <si>
    <t>CLMStkGetIssueSizyouMstKabu</t>
  </si>
  <si>
    <t>CLMStkGetIssueMstSak</t>
  </si>
  <si>
    <t>CLMStkGetIssueMstIndex</t>
  </si>
  <si>
    <t>p_err</t>
    <phoneticPr fontId="1"/>
  </si>
  <si>
    <t>sResultCode</t>
    <phoneticPr fontId="1"/>
  </si>
  <si>
    <t>sResultText</t>
    <phoneticPr fontId="1"/>
  </si>
  <si>
    <t>CLMStkGetIssueMstFx</t>
  </si>
  <si>
    <t>CLMStkGetDateZyouhou</t>
  </si>
  <si>
    <t>CLMStkGetYobine</t>
  </si>
  <si>
    <t>CLMStkGetIssueSizyouKiseiKabu</t>
  </si>
  <si>
    <t>CLMStkGetIssueSizyouKiseiHasei</t>
  </si>
  <si>
    <t>CLMStkGetHosyoukinMst</t>
  </si>
  <si>
    <t>CLMStkGetOrderErrReason</t>
  </si>
  <si>
    <t xml:space="preserve"> 1.株式銘柄マスタ問合取得</t>
  </si>
  <si>
    <t>2.株式銘柄市場マスタ問合取得</t>
  </si>
  <si>
    <t>3.先物銘柄マスタ問合取得</t>
  </si>
  <si>
    <t>4.オプション銘柄マスタ問合取得</t>
  </si>
  <si>
    <t>5.指数銘柄マスタ問合取得</t>
  </si>
  <si>
    <t>6.為替銘柄マスタ問合取得</t>
  </si>
  <si>
    <t>get_master_1_CLMStkGetIssueMstKabu</t>
  </si>
  <si>
    <t>get_master_1_CLMStkGetIssueMstKabu</t>
    <phoneticPr fontId="1"/>
  </si>
  <si>
    <t>get_master_2_CLMStkGetIssueSizyouMstKabu</t>
  </si>
  <si>
    <t>get_master_2_CLMStkGetIssueSizyouMstKabu</t>
    <phoneticPr fontId="1"/>
  </si>
  <si>
    <t>get_master_3_CLMStkGetIssueMstSak</t>
  </si>
  <si>
    <t>get_master_3_CLMStkGetIssueMstSak</t>
    <phoneticPr fontId="1"/>
  </si>
  <si>
    <t>get_master_4_CLMStkGetIssueMstOp</t>
  </si>
  <si>
    <t>get_master_4_CLMStkGetIssueMstOp</t>
    <phoneticPr fontId="1"/>
  </si>
  <si>
    <t xml:space="preserve"> 5.指数銘柄マスタ問合取得</t>
  </si>
  <si>
    <t>get_master_5_CLMStkGetIssueMstIndex()</t>
  </si>
  <si>
    <t xml:space="preserve"> 6.為替銘柄マスタ問合取得</t>
  </si>
  <si>
    <t>get_master_6_CLMStkGetIssueMstFx()</t>
  </si>
  <si>
    <t xml:space="preserve"> 7.日付情報</t>
  </si>
  <si>
    <t>get_master_7_CLMStkGetDateZyouhou()</t>
  </si>
  <si>
    <t xml:space="preserve"> 8.呼値情報問合取得</t>
  </si>
  <si>
    <t>get_master_8_CLMStkGetYobine()</t>
  </si>
  <si>
    <t xml:space="preserve"> 9.代用掛目情報問合取得</t>
  </si>
  <si>
    <t>get_master_9_CLMStkGetDaiyouKakeme()</t>
  </si>
  <si>
    <t xml:space="preserve"> 10.株式銘柄別・市場別規制情報問合取得</t>
  </si>
  <si>
    <t>get_master_10_CLMStkGetIssueSizyouKiseiKabu()</t>
  </si>
  <si>
    <t xml:space="preserve"> 11.派生銘柄別・市場別規制情報問合取得</t>
  </si>
  <si>
    <t>get_master_11_CLMStkGetIssueSizyouKiseiHasei()</t>
  </si>
  <si>
    <t xml:space="preserve"> 12.保証金マスタ情報問合取得</t>
  </si>
  <si>
    <t>get_master_12_CLMStkGetHosyoukinMst()</t>
  </si>
  <si>
    <t xml:space="preserve"> 13.取引所エラー等理由コード情報問合取得</t>
  </si>
  <si>
    <t>get_master_13_CLMStkGetOrderErrReason()</t>
  </si>
  <si>
    <t>2026.10.05-12:26:30.668</t>
  </si>
  <si>
    <t>p_sd_date</t>
    <phoneticPr fontId="1"/>
  </si>
  <si>
    <t>p_err</t>
    <phoneticPr fontId="1"/>
  </si>
  <si>
    <t>sResultText</t>
    <phoneticPr fontId="1"/>
  </si>
  <si>
    <t>2026.10.05-12:26:49.150</t>
  </si>
  <si>
    <t>p_errno</t>
    <phoneticPr fontId="1"/>
  </si>
  <si>
    <t>sResultText</t>
    <phoneticPr fontId="1"/>
  </si>
  <si>
    <t>CLMStkGetIssueMstOp</t>
  </si>
  <si>
    <t>2026.10.05-12:27:25.428</t>
  </si>
  <si>
    <t>p_no</t>
    <phoneticPr fontId="1"/>
  </si>
  <si>
    <t>p_err</t>
    <phoneticPr fontId="1"/>
  </si>
  <si>
    <t>sResultCode</t>
    <phoneticPr fontId="1"/>
  </si>
  <si>
    <t>sResultText</t>
    <phoneticPr fontId="1"/>
  </si>
  <si>
    <t>2026.10.05-12:33:03.673</t>
  </si>
  <si>
    <t>p_err</t>
    <phoneticPr fontId="1"/>
  </si>
  <si>
    <t>2026.10.05-12:33:30.428</t>
  </si>
  <si>
    <t>p_no</t>
    <phoneticPr fontId="1"/>
  </si>
  <si>
    <t>CLMStkGetDaiyouKakeme</t>
  </si>
  <si>
    <t>2026.10.05-12:34:11.682</t>
  </si>
  <si>
    <t>sCLMID</t>
    <phoneticPr fontId="1"/>
  </si>
  <si>
    <t>sResultCode</t>
    <phoneticPr fontId="1"/>
  </si>
  <si>
    <t>2026.10.05-12:34:22.824</t>
  </si>
  <si>
    <t>p_errno</t>
    <phoneticPr fontId="1"/>
  </si>
  <si>
    <t>sResultText</t>
    <phoneticPr fontId="1"/>
  </si>
  <si>
    <t>2026.10.05-12:34:41.220</t>
  </si>
  <si>
    <t>sResultCode</t>
    <phoneticPr fontId="1"/>
  </si>
  <si>
    <t>sResultText</t>
    <phoneticPr fontId="1"/>
  </si>
  <si>
    <t>2026.10.05-12:34:54.196</t>
  </si>
  <si>
    <t>sResultCode</t>
    <phoneticPr fontId="1"/>
  </si>
  <si>
    <t>2026.10.05-12:35:14.714</t>
  </si>
  <si>
    <t>sCLMID</t>
    <phoneticPr fontId="1"/>
  </si>
  <si>
    <t>p_errno</t>
    <phoneticPr fontId="1"/>
  </si>
  <si>
    <t>sResultCode</t>
    <phoneticPr fontId="1"/>
  </si>
  <si>
    <t>sResultCode</t>
    <phoneticPr fontId="1"/>
  </si>
  <si>
    <t>2026.10.05-12:35:43.473</t>
  </si>
  <si>
    <t>p_no</t>
    <phoneticPr fontId="1"/>
  </si>
  <si>
    <t>2026.10.05-12:40:27.980</t>
  </si>
  <si>
    <t>p_no</t>
    <phoneticPr fontId="1"/>
  </si>
  <si>
    <t>sCLMID</t>
    <phoneticPr fontId="1"/>
  </si>
  <si>
    <t>p_errno</t>
    <phoneticPr fontId="1"/>
  </si>
  <si>
    <t>sResultText</t>
    <phoneticPr fontId="1"/>
  </si>
  <si>
    <t>2026.10.05-12:48:04.018</t>
  </si>
  <si>
    <t>sResultText</t>
    <phoneticPr fontId="1"/>
  </si>
  <si>
    <t>2026.10.05-12:49:51.816</t>
  </si>
  <si>
    <t>p_sd_date</t>
    <phoneticPr fontId="1"/>
  </si>
  <si>
    <t>p_err</t>
    <phoneticPr fontId="1"/>
  </si>
  <si>
    <t>sResultCode</t>
    <phoneticPr fontId="1"/>
  </si>
  <si>
    <t>sResultText</t>
    <phoneticPr fontId="1"/>
  </si>
  <si>
    <t>1.株式銘柄マスタ問合取得</t>
  </si>
  <si>
    <t>get_master_5_CLMStkGetIssueMstIndex</t>
  </si>
  <si>
    <t>get_master_6_CLMStkGetIssueMstFx</t>
  </si>
  <si>
    <t>7.日付情報問合取得</t>
  </si>
  <si>
    <t>get_master_7_CLMStkGetDateZyouhou</t>
  </si>
  <si>
    <t>8.呼値情報問合取得</t>
  </si>
  <si>
    <t>get_master_8_CLMStkGetYobine</t>
  </si>
  <si>
    <t>9.代用掛目情報問合取得</t>
  </si>
  <si>
    <t>get_master_9_CLMStkGetDaiyouKakeme</t>
  </si>
  <si>
    <t>10.株式銘柄別・市場別規制情報問合取得</t>
  </si>
  <si>
    <t>get_master_10_CLMStkGetIssueSizyouKiseiKabu</t>
  </si>
  <si>
    <t>11.派生銘柄別・市場別規制情報問合取得</t>
  </si>
  <si>
    <t>get_master_11_CLMStkGetIssueSizyouKiseiHasei</t>
  </si>
  <si>
    <t>12.保証金マスタ情報問合取得</t>
  </si>
  <si>
    <t>get_master_12_CLMStkGetHosyoukinMst</t>
  </si>
  <si>
    <t>13.取引所エラー等理由コード情報問合取得</t>
  </si>
  <si>
    <t>get_master_13_CLMStkGetOrderErrReason</t>
  </si>
  <si>
    <t>e_api_Excel_pubkey.xlsm</t>
    <phoneticPr fontId="1"/>
  </si>
  <si>
    <t>JsonConverter (Specs.bas)を利用しています。</t>
    <rPh sb="26" eb="28">
      <t>リヨウ</t>
    </rPh>
    <phoneticPr fontId="1"/>
  </si>
  <si>
    <t>https://kabuka.e-shiten.jp/e_api_v4r10/</t>
    <phoneticPr fontId="1"/>
  </si>
  <si>
    <t>https://demo-kabuka.e-shiten.jp/e_api_v4r10/</t>
    <phoneticPr fontId="1"/>
  </si>
  <si>
    <t>JsonConverter (Specs.bas)は、そのライセンスに従って利用してください。</t>
    <rPh sb="35" eb="36">
      <t>シタガ</t>
    </rPh>
    <rPh sb="38" eb="40">
      <t>リヨウ</t>
    </rPh>
    <phoneticPr fontId="1"/>
  </si>
  <si>
    <t>６．事前準備</t>
    <rPh sb="2" eb="6">
      <t>ジゼンジュンビ</t>
    </rPh>
    <phoneticPr fontId="1"/>
  </si>
  <si>
    <t>７．利用方法</t>
    <rPh sb="2" eb="6">
      <t>リヨウホウホウ</t>
    </rPh>
    <phoneticPr fontId="1"/>
  </si>
  <si>
    <t>８．ライセンス</t>
    <phoneticPr fontId="1"/>
  </si>
  <si>
    <t>９．責任</t>
    <rPh sb="2" eb="4">
      <t>セキニン</t>
    </rPh>
    <phoneticPr fontId="1"/>
  </si>
  <si>
    <t>このExcelファイルのあるフォルダに「key_hon」や「key_demo」のようにフォルダを作成します。</t>
    <rPh sb="48" eb="50">
      <t>サクセイ</t>
    </rPh>
    <phoneticPr fontId="1"/>
  </si>
  <si>
    <t>AuthIDファイル</t>
    <phoneticPr fontId="1"/>
  </si>
  <si>
    <t>秘密鍵ファイル（拡張子.der）</t>
    <rPh sb="0" eb="3">
      <t>ヒミツカギ</t>
    </rPh>
    <rPh sb="8" eb="11">
      <t>カクチョウシ</t>
    </rPh>
    <phoneticPr fontId="1"/>
  </si>
  <si>
    <t>第二暗証番号ファイル</t>
    <rPh sb="0" eb="6">
      <t>ダイニアンショウバンゴウ</t>
    </rPh>
    <phoneticPr fontId="1"/>
  </si>
  <si>
    <t>e_api_authid.txt</t>
  </si>
  <si>
    <t>e_api_private_key.der</t>
    <phoneticPr fontId="1"/>
  </si>
  <si>
    <t>file_pwd2.txt</t>
    <phoneticPr fontId="1"/>
  </si>
  <si>
    <t>key_demo</t>
    <phoneticPr fontId="1"/>
  </si>
  <si>
    <t>CreateSecureConfig</t>
  </si>
  <si>
    <t>認証ファイルの暗号化</t>
    <rPh sb="0" eb="2">
      <t>ニンショウ</t>
    </rPh>
    <rPh sb="7" eb="10">
      <t>アンゴウカ</t>
    </rPh>
    <phoneticPr fontId="1"/>
  </si>
  <si>
    <t>拡張子.derファイルの方のみ。</t>
    <rPh sb="0" eb="3">
      <t>カクチョウシ</t>
    </rPh>
    <rPh sb="12" eb="13">
      <t>ホウ</t>
    </rPh>
    <phoneticPr fontId="1"/>
  </si>
  <si>
    <t>フォルダ</t>
    <phoneticPr fontId="1"/>
  </si>
  <si>
    <t>安全な設定をしたフォルダ。エクセルファイルのディレクトリの直下（から記述）</t>
    <rPh sb="3" eb="5">
      <t>セッテイ</t>
    </rPh>
    <rPh sb="29" eb="31">
      <t>チョクカ</t>
    </rPh>
    <rPh sb="34" eb="36">
      <t>キジュツ</t>
    </rPh>
    <phoneticPr fontId="1"/>
  </si>
  <si>
    <t>p_sd_date</t>
  </si>
  <si>
    <t>p_no</t>
  </si>
  <si>
    <t>p_rv_date</t>
  </si>
  <si>
    <t>p_errno</t>
  </si>
  <si>
    <t>p_err</t>
  </si>
  <si>
    <t>sCLMID</t>
  </si>
  <si>
    <t>CLMAuthLoginAck</t>
  </si>
  <si>
    <t>sResultCode</t>
  </si>
  <si>
    <t xml:space="preserve">実行sCLMID : </t>
  </si>
  <si>
    <t>機能ＩＤ</t>
  </si>
  <si>
    <t>結果コード</t>
  </si>
  <si>
    <t>結果テキスト</t>
  </si>
  <si>
    <t>2026.10.07-10:06:23.936</t>
  </si>
  <si>
    <t>sWarningCode</t>
  </si>
  <si>
    <t>警告コード</t>
  </si>
  <si>
    <t>sWarningText</t>
  </si>
  <si>
    <t>警告テキスト</t>
  </si>
  <si>
    <t>2026.10.07-10:06:44.296</t>
  </si>
  <si>
    <t>p_no</t>
    <phoneticPr fontId="1"/>
  </si>
  <si>
    <t>p_err</t>
    <phoneticPr fontId="1"/>
  </si>
  <si>
    <t>sResultCode</t>
    <phoneticPr fontId="1"/>
  </si>
  <si>
    <t>sIssueCode</t>
  </si>
  <si>
    <t>銘柄コード</t>
  </si>
  <si>
    <t>市場</t>
  </si>
  <si>
    <t>2026.10.07-10:31:10.296</t>
  </si>
  <si>
    <t>p_no</t>
    <phoneticPr fontId="1"/>
  </si>
  <si>
    <t>sCLMID</t>
    <phoneticPr fontId="1"/>
  </si>
  <si>
    <t>2026.10.07-10:32:51.221</t>
  </si>
  <si>
    <t>p_no</t>
    <phoneticPr fontId="1"/>
  </si>
  <si>
    <t>p_sd_date</t>
    <phoneticPr fontId="1"/>
  </si>
  <si>
    <t>sCLMID</t>
    <phoneticPr fontId="1"/>
  </si>
  <si>
    <t>p_err</t>
    <phoneticPr fontId="1"/>
  </si>
  <si>
    <t xml:space="preserve">sOrderNumber </t>
    <phoneticPr fontId="1"/>
  </si>
  <si>
    <t>注文番号（必須）</t>
    <rPh sb="0" eb="2">
      <t>チュウモン</t>
    </rPh>
    <rPh sb="2" eb="4">
      <t>バンゴウ</t>
    </rPh>
    <phoneticPr fontId="1"/>
  </si>
  <si>
    <t>営業日（必須）</t>
    <rPh sb="0" eb="3">
      <t>エイギョウビ</t>
    </rPh>
    <phoneticPr fontId="1"/>
  </si>
  <si>
    <t>sEigyouDay</t>
    <phoneticPr fontId="1"/>
  </si>
  <si>
    <t>sSizyouC</t>
  </si>
  <si>
    <t>sSummaryUpdate</t>
  </si>
  <si>
    <t>更新日時</t>
  </si>
  <si>
    <t>sSummaryGenkabuKaituke</t>
  </si>
  <si>
    <t>株式現物買付可能額</t>
  </si>
  <si>
    <t>sSummaryNseityouTousiKanougaku</t>
  </si>
  <si>
    <t>NISA成長投資可能額</t>
  </si>
  <si>
    <t>sHusokukinHasseiFlg</t>
  </si>
  <si>
    <t>不足金発生フラグ</t>
  </si>
  <si>
    <t>2026.10.07-11:03:58.950</t>
  </si>
  <si>
    <t xml:space="preserve">{
	"p_sd_date":"2026.10.07-11:03:58.950",
	"p_no":"1",
	"p_rv_date":"2026.10.07-11:03:58.517",
	"p_errno":"0",
	"p_err":"",
	"sCLMID":"CLMAuthLoginAck",
	"sResultCode":"0",
	"sResultText":"",
	"sZyoutoekiKazeiC":"1",
	"sSecondPasswordOmit":"0",
	"sLastLoginDate":"20261007094451",
	"sSogoKouzaKubun":"1",
	"sHogoAdukariKouzaKubun":"1",
	"sFurikaeKouzaKubun":"1",
	"sGaikokuKouzaKubun":"1",
	"sMRFKouzaKubun":"0",
	"sTokuteiKouzaKubunGenbutu":"1",
	"sTokuteiKouzaKubunSinyou":"1",
	"sTokuteiKouzaKubunTousin":"0",
	"sTokuteiHaitouKouzaKubun":"1",
	"sTokuteiKanriKouzaKubun":"0",
	"sSinyouKouzaKubun":"1",
	"sSakopKouzaKubun":"0",
	"sMMFKouzaKubun":"0",
	"sTyukokufKouzaKubun":"0",
	"sKawaseKouzaKubun":"0",
	"sHikazeiKouzaKubun":"1",
	"sKinsyouhouMidokuFlg":"0",
	"sUrlRequest":"gYtLRA1JKAngE87VljOBbZFrcm1ND2ORKPfMa+0+TRLI5EM5FHiiuwbWA1wIdUQmRQep1glFeX5/uYdov7Dx2FVRzgcDqSgPcQXWqwoN6dsOExMFUNc26NdwcYAyjHD4KesSNse6LCi4sGDXyewWdccM5l8T44fUBd4SJIQEXPqpwN4LgaziP7rQyUn5hX7pue4/48OO3vOxmZW6Wkqp1gOcC2NIGArsfcp9NvvalYTEMczGjRYjNRDZagMLIuY4f/l/MFyhrbg357vDL2tDK3kUBN8uundkITxlzSytJCxIzlxvOAKmwYnlNiAvQ8/vHMlNM00+EFzqW8+vVbotxw==",
	"sUrlMaster":"vcpOf6LydCtAJm9F1LuiIeVSNUTgQmzL+roHzPP694tqqeBCFw8U4AIiXyoyE7yhI57AzPJ8xKbnDpMF7uixL8kA1MxeNFQ+q/+KLcyfhkaVXkd21Guk36ZObvQjnoW9i+qcPkdwvwAxF4bl1fO3dyRQc5S11u19p187DDCkI7IcKBGZjNUN1xUGwjt2kDI1oxVHqqc60WW94YeqQvWKZSTyLzmn+feXpsVU4q8JUWKOdBhWkCWuNAv+42GAF7yB2w4rYlcuMP+F9CxqouYAASrMHsCBNskc3IcI/sp4ap9SbBLlaXo7zgfeE0j17PDl5K2ouQoIIn6NqN8gAL/scw==",
	"sUrlPrice":"fN4KmOtOUEGxQzM8jFvWayuwCE5/9HUOn12ckEe5cr0vfL/cmdFvwhnXpzTw2sTrBwwyNe0Rr37k1OBXMMV+AOLWU7Aa8VWlgM5d2R35do68xDLZLuLUCzedY8owq2A/iwG6y9QF5OJaeFn8OqtAhdQ8rntyABhkz4ZeFPJ+TCcNQPEFJjo2kPCBPKZ/WrYjYYhyx0maOGao+MVe1B+Pr6+FK4q0qGaksoBpIUiQ9YUijfDHvuK1BCA32tGTukn57LtzR3lQGs7uEitWrhXo02Q0KsyOY7bRrLLJFDaPORLZhlpne4OsxzKgTphMeVcbxmVPvihQkit3ipXclXV08A==",
	"sUrlEvent":"I2G2g7azNdVdx/BJixJDGoSA7+I9qcDL2sEwCuhdPoHpNdDl+y5N2oI5NbzloEKeSllxheLhoYmldcuj4GQCvWIoRfEg28GwKHnMwEzv0M2AAAC91yo3iDQoSxEgq0b61Ci1vu8RI+qPes4cLc82FsY1yeWKErlo7WvRgheLX8U+LD4chUvUae55bx8eL4xl5RI8T1QBXL/HcJeyL8l9LrVMxNxjDwsfcH8ssHCjnvEUrC3x0yOPZKeekaAI7r4o8f6cMjWk2zgIysZ7f+0OyargMCkC85djjz/a1mVsldhEIQktMI1flabzv+RflD93kPEPO9K88/cPgA6wJAVQPg==",
	"sUrlEventWebSocket":"Oeg70qqsBreZa9cRhuHtePL384xNrzcobsUwbhkgUMCfjTbtC95PvK1PJEDEedz2iqixvfqFPRiGkPy9TEK/lfRBM2zXElBj+aZg7LdEpfBuAKMxNLMU42odGrfwlrAfQWePXqXzIZnsclCqOqwLUwZFgdGQa5D/sd4lwnbcjGbmcdKTPHdYfiJdVHbuHZcwPDzquiUQTk+umKUgB3O+j9SCOJVGDqN2nywJGMJVmHkkuXgK4Qtg8BOlrfcWfA5q8K9QYJYVsECi0yghAFn8tYpuWPGawSAwSjLqVFYMWwSEaGP5VM7IbAu1w+CRPXfK/1/FCvivtVJbCiZP6MOVSw==",
	"sUpdateInformWebDocument":"20241103",
	"sUpdateInformAPISpecFunction":"20241103"
}
</t>
    <phoneticPr fontId="1"/>
  </si>
  <si>
    <t>p_no</t>
    <phoneticPr fontId="1"/>
  </si>
  <si>
    <t>p_sd_date</t>
    <phoneticPr fontId="1"/>
  </si>
  <si>
    <t>p_err</t>
    <phoneticPr fontId="1"/>
  </si>
  <si>
    <t>sResultCode</t>
    <phoneticPr fontId="1"/>
  </si>
  <si>
    <t>sResultText</t>
    <phoneticPr fontId="1"/>
  </si>
  <si>
    <t>2026.10.07-11:04:16.502</t>
  </si>
  <si>
    <t>p_no</t>
    <phoneticPr fontId="1"/>
  </si>
  <si>
    <t>sCLMID</t>
    <phoneticPr fontId="1"/>
  </si>
  <si>
    <t>p_err</t>
    <phoneticPr fontId="1"/>
  </si>
  <si>
    <t>sResultText</t>
    <phoneticPr fontId="1"/>
  </si>
  <si>
    <t>2026.10.07-11:04:38.305</t>
  </si>
  <si>
    <t>2026.10.07-11:04:38.275</t>
  </si>
  <si>
    <t>https://demo-kabuka.e-shiten.jp/e_api_v4r10/request/NTE3NTgwMzExMDcxMC0xMTYtMTA3NDU=/
?_x000D_{_x000D_	"p_no":"3",_x000D_	"p_sd_date":"2026.10.07-11:04:38.097",_x000D_	"sCLMID":"CLMZanKaiKanougaku",_x000D_	"sJsonOfmt":"5"_x000D_}</t>
  </si>
  <si>
    <t>p_sd_date</t>
    <phoneticPr fontId="1"/>
  </si>
  <si>
    <t>「ExcelでAPIを利用するための事前準備.pdf」の手順で設定してください。</t>
    <rPh sb="28" eb="30">
      <t>テジュン</t>
    </rPh>
    <rPh sb="31" eb="33">
      <t>セッテイ</t>
    </rPh>
    <phoneticPr fontId="1"/>
  </si>
  <si>
    <t>認証ID、秘密鍵を取得してください。</t>
    <rPh sb="0" eb="2">
      <t>ニンショウ</t>
    </rPh>
    <rPh sb="5" eb="8">
      <t>ヒミツカギ</t>
    </rPh>
    <rPh sb="9" eb="11">
      <t>シュトク</t>
    </rPh>
    <phoneticPr fontId="1"/>
  </si>
  <si>
    <t>「認証ID・秘密鍵等の取得方法.pdf」の手順で設定してください。</t>
    <rPh sb="21" eb="23">
      <t>テジュン</t>
    </rPh>
    <rPh sb="24" eb="26">
      <t>セッテイ</t>
    </rPh>
    <phoneticPr fontId="1"/>
  </si>
  <si>
    <t>シート「暗号化」「ログイン」の色付きセルに接続先URL等必要な情報をテキストで記入する。</t>
    <rPh sb="4" eb="7">
      <t>アンゴウカ</t>
    </rPh>
    <rPh sb="15" eb="17">
      <t>イロツ</t>
    </rPh>
    <rPh sb="21" eb="24">
      <t>セツゾクサキ</t>
    </rPh>
    <rPh sb="27" eb="28">
      <t>トウ</t>
    </rPh>
    <rPh sb="28" eb="30">
      <t>ヒツヨウ</t>
    </rPh>
    <rPh sb="31" eb="33">
      <t>ジョウホウ</t>
    </rPh>
    <rPh sb="39" eb="41">
      <t>キニュウ</t>
    </rPh>
    <phoneticPr fontId="1"/>
  </si>
  <si>
    <t>認証情報を容易に復元できないようにするためのものです。</t>
    <phoneticPr fontId="1"/>
  </si>
  <si>
    <t>PC自体が不正アクセスを受けた場合などの他の不正アクセスについては、</t>
    <phoneticPr fontId="1"/>
  </si>
  <si>
    <t>利用者ご自身で適切なセキュリティ対策を行ってください。</t>
  </si>
  <si>
    <t>このてじゆん</t>
    <phoneticPr fontId="1"/>
  </si>
  <si>
    <t>このExcelでのAPIの利用は、認証情報を含むファイルが第三者に渡った場合に、</t>
    <rPh sb="13" eb="15">
      <t>リヨウ</t>
    </rPh>
    <phoneticPr fontId="1"/>
  </si>
  <si>
    <t>認証情報を容易に復元できないよう考慮してあります。しかし万全ではありません。</t>
    <rPh sb="16" eb="18">
      <t>コウリョ</t>
    </rPh>
    <rPh sb="28" eb="30">
      <t>バンゼン</t>
    </rPh>
    <phoneticPr fontId="1"/>
  </si>
  <si>
    <t>PC自体が不正アクセスを受けた場合等も含め、利用者ご自身で適切なセキュリティ対策を行ってください。</t>
    <phoneticPr fontId="1"/>
  </si>
  <si>
    <t xml:space="preserve">4.注文番号 </t>
    <phoneticPr fontId="1"/>
  </si>
  <si>
    <t xml:space="preserve">sOrderNumber </t>
  </si>
  <si>
    <t>5.営業日</t>
    <phoneticPr fontId="1"/>
  </si>
  <si>
    <t xml:space="preserve">sEigyouDay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</si>
</sst>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_);[Red]\(0\)"/>
    <numFmt numFmtId="177" formatCode="#,##0_ "/>
    <numFmt numFmtId="178" formatCode="0_ "/>
  </numFmts>
  <fonts count="19" x14ac:knownFonts="1">
    <font>
      <sz val="11"/>
      <color theme="1"/>
      <name val="游ゴシック"/>
      <family val="2"/>
      <charset val="128"/>
      <scheme val="minor"/>
    </font>
    <font>
      <sz val="6"/>
      <name val="游ゴシック"/>
      <family val="2"/>
      <charset val="128"/>
      <scheme val="minor"/>
    </font>
    <font>
      <sz val="10"/>
      <color theme="1"/>
      <name val="游ゴシック"/>
      <family val="3"/>
      <charset val="128"/>
      <scheme val="minor"/>
    </font>
    <font>
      <b/>
      <sz val="10"/>
      <color rgb="FFFF0000"/>
      <name val="游ゴシック"/>
      <family val="3"/>
      <charset val="128"/>
      <scheme val="minor"/>
    </font>
    <font>
      <b/>
      <sz val="14"/>
      <color rgb="FFFF0000"/>
      <name val="ＭＳ Ｐゴシック"/>
      <family val="3"/>
      <charset val="128"/>
    </font>
    <font>
      <sz val="11"/>
      <color rgb="FF000000"/>
      <name val="游ゴシック"/>
      <family val="3"/>
      <charset val="128"/>
    </font>
    <font>
      <sz val="12"/>
      <color theme="1"/>
      <name val="ＭＳ Ｐゴシック"/>
      <family val="3"/>
      <charset val="128"/>
    </font>
    <font>
      <b/>
      <sz val="14"/>
      <color theme="1"/>
      <name val="ＭＳ Ｐゴシック"/>
      <family val="3"/>
      <charset val="128"/>
    </font>
    <font>
      <sz val="14"/>
      <color theme="1"/>
      <name val="ＭＳ Ｐゴシック"/>
      <family val="3"/>
      <charset val="128"/>
    </font>
    <font>
      <sz val="11"/>
      <color rgb="FFFF0000"/>
      <name val="游ゴシック"/>
      <family val="3"/>
      <charset val="128"/>
    </font>
    <font>
      <sz val="11"/>
      <color rgb="FF0000FF"/>
      <name val="游ゴシック"/>
      <family val="3"/>
      <charset val="128"/>
    </font>
    <font>
      <sz val="10"/>
      <color theme="1"/>
      <name val="游ゴシック"/>
      <family val="2"/>
      <charset val="128"/>
      <scheme val="minor"/>
    </font>
    <font>
      <sz val="10"/>
      <name val="游ゴシック"/>
      <family val="3"/>
      <charset val="128"/>
      <scheme val="minor"/>
    </font>
    <font>
      <sz val="11"/>
      <color rgb="FFFF0000"/>
      <name val="游ゴシック"/>
      <family val="2"/>
      <charset val="128"/>
      <scheme val="minor"/>
    </font>
    <font>
      <b/>
      <sz val="11"/>
      <color rgb="FFFF0000"/>
      <name val="游ゴシック"/>
      <family val="3"/>
      <charset val="128"/>
      <scheme val="minor"/>
    </font>
    <font>
      <strike/>
      <sz val="10"/>
      <color theme="1"/>
      <name val="游ゴシック"/>
      <family val="3"/>
      <charset val="128"/>
      <scheme val="minor"/>
    </font>
    <font>
      <sz val="11"/>
      <color theme="1"/>
      <name val="IPA明朝"/>
      <family val="1"/>
      <charset val="128"/>
    </font>
    <font>
      <sz val="10"/>
      <color rgb="FFFF0000"/>
      <name val="游ゴシック"/>
      <family val="3"/>
      <charset val="128"/>
      <scheme val="minor"/>
    </font>
    <font>
      <sz val="11"/>
      <color theme="1"/>
      <name val="ＭＳ Ｐ明朝"/>
      <family val="1"/>
      <charset val="128"/>
    </font>
  </fonts>
  <fills count="4">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s>
  <borders count="10">
    <border>
      <left/>
      <right/>
      <top/>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s>
  <cellStyleXfs count="1">
    <xf numFmtId="0" fontId="0" fillId="0" borderId="0">
      <alignment vertical="center"/>
    </xf>
  </cellStyleXfs>
  <cellXfs count="59">
    <xf numFmtId="0" fontId="0" fillId="0" borderId="0" xfId="0">
      <alignment vertical="center"/>
    </xf>
    <xf numFmtId="0" fontId="2" fillId="0" borderId="0" xfId="0" applyFont="1">
      <alignment vertical="center"/>
    </xf>
    <xf numFmtId="0" fontId="2" fillId="0" borderId="0" xfId="0" quotePrefix="1" applyFont="1">
      <alignment vertical="center"/>
    </xf>
    <xf numFmtId="0" fontId="0" fillId="2" borderId="0" xfId="0" quotePrefix="1" applyFill="1">
      <alignment vertical="center"/>
    </xf>
    <xf numFmtId="0" fontId="0" fillId="2" borderId="0" xfId="0" applyFill="1">
      <alignment vertical="center"/>
    </xf>
    <xf numFmtId="14" fontId="0" fillId="0" borderId="0" xfId="0" applyNumberFormat="1" applyFill="1">
      <alignment vertical="center"/>
    </xf>
    <xf numFmtId="0" fontId="3" fillId="0" borderId="0" xfId="0" applyFont="1">
      <alignment vertical="center"/>
    </xf>
    <xf numFmtId="0" fontId="0" fillId="0" borderId="0" xfId="0" quotePrefix="1">
      <alignment vertical="center"/>
    </xf>
    <xf numFmtId="0" fontId="0" fillId="3" borderId="0" xfId="0" applyFill="1">
      <alignment vertical="center"/>
    </xf>
    <xf numFmtId="0" fontId="4" fillId="0" borderId="0" xfId="0" applyFont="1">
      <alignment vertical="center"/>
    </xf>
    <xf numFmtId="0" fontId="0" fillId="0" borderId="0" xfId="0" applyAlignment="1">
      <alignment vertical="center" wrapText="1"/>
    </xf>
    <xf numFmtId="0" fontId="6" fillId="0" borderId="0" xfId="0" applyFont="1">
      <alignment vertical="center"/>
    </xf>
    <xf numFmtId="0" fontId="7" fillId="0" borderId="0" xfId="0" applyFont="1">
      <alignment vertical="center"/>
    </xf>
    <xf numFmtId="176" fontId="0" fillId="3" borderId="0" xfId="0" applyNumberFormat="1" applyFill="1">
      <alignment vertical="center"/>
    </xf>
    <xf numFmtId="177" fontId="0" fillId="3" borderId="0" xfId="0" applyNumberFormat="1" applyFill="1">
      <alignment vertical="center"/>
    </xf>
    <xf numFmtId="14" fontId="6" fillId="0" borderId="0" xfId="0" applyNumberFormat="1" applyFont="1" applyFill="1">
      <alignment vertical="center"/>
    </xf>
    <xf numFmtId="0" fontId="8" fillId="0" borderId="0" xfId="0" applyFont="1">
      <alignment vertical="center"/>
    </xf>
    <xf numFmtId="176" fontId="6" fillId="2" borderId="0" xfId="0" applyNumberFormat="1" applyFont="1" applyFill="1">
      <alignment vertical="center"/>
    </xf>
    <xf numFmtId="0" fontId="6" fillId="2" borderId="0" xfId="0" applyFont="1" applyFill="1">
      <alignment vertical="center"/>
    </xf>
    <xf numFmtId="0" fontId="11" fillId="0" borderId="0" xfId="0" applyFont="1" applyAlignment="1">
      <alignment vertical="center" wrapText="1"/>
    </xf>
    <xf numFmtId="0" fontId="2" fillId="0" borderId="0" xfId="0" applyFont="1" applyAlignment="1">
      <alignment vertical="center" wrapText="1"/>
    </xf>
    <xf numFmtId="0" fontId="2" fillId="0" borderId="0" xfId="0" applyFont="1" applyAlignment="1">
      <alignment horizontal="right" vertical="center"/>
    </xf>
    <xf numFmtId="0" fontId="12" fillId="0" borderId="0" xfId="0" applyFont="1">
      <alignment vertical="center"/>
    </xf>
    <xf numFmtId="0" fontId="0" fillId="0" borderId="0" xfId="0" applyFill="1">
      <alignment vertical="center"/>
    </xf>
    <xf numFmtId="0" fontId="0" fillId="0" borderId="0" xfId="0" applyAlignment="1">
      <alignment horizontal="center" vertic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13" fillId="0" borderId="0" xfId="0" applyFont="1" applyAlignment="1">
      <alignment horizontal="right" vertical="center"/>
    </xf>
    <xf numFmtId="0" fontId="13" fillId="0" borderId="0" xfId="0" applyFont="1">
      <alignment vertical="center"/>
    </xf>
    <xf numFmtId="0" fontId="14" fillId="0" borderId="0" xfId="0" applyFont="1">
      <alignment vertical="center"/>
    </xf>
    <xf numFmtId="0" fontId="14" fillId="0" borderId="0" xfId="0" applyFont="1" applyAlignment="1">
      <alignment horizontal="center" vertical="center"/>
    </xf>
    <xf numFmtId="0" fontId="14" fillId="0" borderId="0" xfId="0" applyFont="1" applyAlignment="1">
      <alignment horizontal="right" vertical="center"/>
    </xf>
    <xf numFmtId="0" fontId="0" fillId="0" borderId="0" xfId="0" applyNumberFormat="1">
      <alignment vertical="center"/>
    </xf>
    <xf numFmtId="0" fontId="0" fillId="0" borderId="0" xfId="0" applyNumberFormat="1" applyAlignment="1">
      <alignment vertical="top" wrapText="1"/>
    </xf>
    <xf numFmtId="0" fontId="0" fillId="0" borderId="0" xfId="0" applyNumberFormat="1" applyAlignment="1">
      <alignment vertical="top"/>
    </xf>
    <xf numFmtId="20" fontId="0" fillId="0" borderId="0" xfId="0" applyNumberFormat="1">
      <alignment vertical="center"/>
    </xf>
    <xf numFmtId="0" fontId="15" fillId="0" borderId="0" xfId="0" applyFont="1">
      <alignment vertical="center"/>
    </xf>
    <xf numFmtId="0" fontId="2" fillId="0" borderId="0" xfId="0" quotePrefix="1" applyFont="1" applyAlignment="1">
      <alignment horizontal="center" vertical="center"/>
    </xf>
    <xf numFmtId="0" fontId="2" fillId="0" borderId="0" xfId="0" applyFont="1" applyAlignment="1">
      <alignment horizontal="center" vertical="center"/>
    </xf>
    <xf numFmtId="0" fontId="0" fillId="2" borderId="0" xfId="0" applyFill="1" applyAlignment="1">
      <alignment horizontal="left" vertical="center"/>
    </xf>
    <xf numFmtId="0" fontId="0" fillId="3" borderId="0" xfId="0" applyFill="1" applyAlignment="1">
      <alignment vertical="center" wrapText="1"/>
    </xf>
    <xf numFmtId="0" fontId="0" fillId="0" borderId="0" xfId="0" applyAlignment="1">
      <alignment horizontal="left" vertical="center" wrapText="1"/>
    </xf>
    <xf numFmtId="0" fontId="0" fillId="0" borderId="0" xfId="0" applyAlignment="1">
      <alignment horizontal="left" vertical="center"/>
    </xf>
    <xf numFmtId="0" fontId="16" fillId="0" borderId="0" xfId="0" applyNumberFormat="1" applyFont="1">
      <alignment vertical="center"/>
    </xf>
    <xf numFmtId="178" fontId="0" fillId="0" borderId="0" xfId="0" applyNumberFormat="1">
      <alignment vertical="center"/>
    </xf>
    <xf numFmtId="178" fontId="0" fillId="2" borderId="0" xfId="0" quotePrefix="1" applyNumberFormat="1" applyFill="1">
      <alignment vertical="center"/>
    </xf>
    <xf numFmtId="178" fontId="0" fillId="0" borderId="0" xfId="0" applyNumberFormat="1" applyAlignment="1">
      <alignment vertical="center" wrapText="1"/>
    </xf>
    <xf numFmtId="0" fontId="0" fillId="3" borderId="0" xfId="0" applyFill="1" applyAlignment="1">
      <alignment vertical="center"/>
    </xf>
    <xf numFmtId="178" fontId="0" fillId="0" borderId="0" xfId="0" applyNumberFormat="1" applyFill="1">
      <alignment vertical="center"/>
    </xf>
    <xf numFmtId="0" fontId="0" fillId="0" borderId="0" xfId="0" applyAlignment="1">
      <alignment vertical="center"/>
    </xf>
    <xf numFmtId="0" fontId="17" fillId="0" borderId="0" xfId="0" applyFont="1">
      <alignment vertical="center"/>
    </xf>
    <xf numFmtId="0" fontId="18" fillId="0" borderId="0" xfId="0" applyFont="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1724025</xdr:colOff>
          <xdr:row>2</xdr:row>
          <xdr:rowOff>457200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認証ファイルの暗号化</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1724025</xdr:colOff>
          <xdr:row>2</xdr:row>
          <xdr:rowOff>457200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ログイン</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ログアウト</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1724025</xdr:colOff>
          <xdr:row>2</xdr:row>
          <xdr:rowOff>457200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現物 可能額取得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 新規建可能額取得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xdr:row>
          <xdr:rowOff>123825</xdr:rowOff>
        </xdr:from>
        <xdr:to>
          <xdr:col>9</xdr:col>
          <xdr:colOff>1724025</xdr:colOff>
          <xdr:row>2</xdr:row>
          <xdr:rowOff>457200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注文約定一覧取得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142875</xdr:colOff>
          <xdr:row>2</xdr:row>
          <xdr:rowOff>123825</xdr:rowOff>
        </xdr:from>
        <xdr:to>
          <xdr:col>13</xdr:col>
          <xdr:colOff>1724025</xdr:colOff>
          <xdr:row>2</xdr:row>
          <xdr:rowOff>457200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注文約定一覧_詳細 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1743075</xdr:colOff>
          <xdr:row>2</xdr:row>
          <xdr:rowOff>438150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現物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8197" name="Button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預り株一覧取得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2</xdr:row>
          <xdr:rowOff>133350</xdr:rowOff>
        </xdr:from>
        <xdr:to>
          <xdr:col>9</xdr:col>
          <xdr:colOff>1743075</xdr:colOff>
          <xdr:row>2</xdr:row>
          <xdr:rowOff>438150</xdr:rowOff>
        </xdr:to>
        <xdr:sp macro="" textlink="">
          <xdr:nvSpPr>
            <xdr:cNvPr id="8198" name="Button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現物 売り注文の発注</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2152650</xdr:colOff>
          <xdr:row>2</xdr:row>
          <xdr:rowOff>438150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新規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133350</xdr:rowOff>
        </xdr:from>
        <xdr:to>
          <xdr:col>5</xdr:col>
          <xdr:colOff>2152650</xdr:colOff>
          <xdr:row>2</xdr:row>
          <xdr:rowOff>438150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新規 売り注文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2</xdr:row>
          <xdr:rowOff>133350</xdr:rowOff>
        </xdr:from>
        <xdr:to>
          <xdr:col>13</xdr:col>
          <xdr:colOff>2152650</xdr:colOff>
          <xdr:row>2</xdr:row>
          <xdr:rowOff>438150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返済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2</xdr:row>
          <xdr:rowOff>133350</xdr:rowOff>
        </xdr:from>
        <xdr:to>
          <xdr:col>17</xdr:col>
          <xdr:colOff>2152650</xdr:colOff>
          <xdr:row>2</xdr:row>
          <xdr:rowOff>438150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返済 売り注文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xdr:row>
          <xdr:rowOff>123825</xdr:rowOff>
        </xdr:from>
        <xdr:to>
          <xdr:col>9</xdr:col>
          <xdr:colOff>1724025</xdr:colOff>
          <xdr:row>2</xdr:row>
          <xdr:rowOff>457200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 建玉一覧取得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161925</xdr:colOff>
          <xdr:row>2</xdr:row>
          <xdr:rowOff>38100</xdr:rowOff>
        </xdr:from>
        <xdr:to>
          <xdr:col>27</xdr:col>
          <xdr:colOff>1600200</xdr:colOff>
          <xdr:row>2</xdr:row>
          <xdr:rowOff>628650</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返済 売り注文</a:t>
              </a:r>
            </a:p>
            <a:p>
              <a:pPr algn="ctr" rtl="0">
                <a:defRPr sz="1000"/>
              </a:pPr>
              <a:r>
                <a:rPr lang="ja-JP" altLang="en-US" sz="1100" b="0" i="0" u="none" strike="noStrike" baseline="0">
                  <a:solidFill>
                    <a:srgbClr val="0000FF"/>
                  </a:solidFill>
                  <a:latin typeface="游ゴシック"/>
                  <a:ea typeface="游ゴシック"/>
                </a:rPr>
                <a:t>（個別指定）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161925</xdr:colOff>
          <xdr:row>2</xdr:row>
          <xdr:rowOff>38100</xdr:rowOff>
        </xdr:from>
        <xdr:to>
          <xdr:col>21</xdr:col>
          <xdr:colOff>1600200</xdr:colOff>
          <xdr:row>2</xdr:row>
          <xdr:rowOff>628650</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返済 買い注文</a:t>
              </a:r>
            </a:p>
            <a:p>
              <a:pPr algn="ctr" rtl="0">
                <a:defRPr sz="1000"/>
              </a:pPr>
              <a:r>
                <a:rPr lang="ja-JP" altLang="en-US" sz="1100" b="0" i="0" u="none" strike="noStrike" baseline="0">
                  <a:solidFill>
                    <a:srgbClr val="FF0000"/>
                  </a:solidFill>
                  <a:latin typeface="游ゴシック"/>
                  <a:ea typeface="游ゴシック"/>
                </a:rPr>
                <a:t>（個別指定）</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1743075</xdr:colOff>
          <xdr:row>2</xdr:row>
          <xdr:rowOff>438150</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注文取消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133350</xdr:rowOff>
        </xdr:from>
        <xdr:to>
          <xdr:col>5</xdr:col>
          <xdr:colOff>1743075</xdr:colOff>
          <xdr:row>2</xdr:row>
          <xdr:rowOff>438150</xdr:rowOff>
        </xdr:to>
        <xdr:sp macro="" textlink="">
          <xdr:nvSpPr>
            <xdr:cNvPr id="25603" name="Button 3" hidden="1">
              <a:extLst>
                <a:ext uri="{63B3BB69-23CF-44E3-9099-C40C66FF867C}">
                  <a14:compatExt spid="_x0000_s2560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一括取消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2</xdr:row>
          <xdr:rowOff>133350</xdr:rowOff>
        </xdr:from>
        <xdr:to>
          <xdr:col>9</xdr:col>
          <xdr:colOff>1743075</xdr:colOff>
          <xdr:row>2</xdr:row>
          <xdr:rowOff>438150</xdr:rowOff>
        </xdr:to>
        <xdr:sp macro="" textlink="">
          <xdr:nvSpPr>
            <xdr:cNvPr id="25604" name="Button 4" hidden="1">
              <a:extLst>
                <a:ext uri="{63B3BB69-23CF-44E3-9099-C40C66FF867C}">
                  <a14:compatExt spid="_x0000_s2560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注文訂正</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株価  スナップショット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1819275</xdr:colOff>
          <xdr:row>2</xdr:row>
          <xdr:rowOff>457200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株価 日足データ取得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2</xdr:row>
          <xdr:rowOff>95250</xdr:rowOff>
        </xdr:from>
        <xdr:to>
          <xdr:col>1</xdr:col>
          <xdr:colOff>2028825</xdr:colOff>
          <xdr:row>2</xdr:row>
          <xdr:rowOff>733425</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1.株式銘柄マスタ</a:t>
              </a:r>
            </a:p>
            <a:p>
              <a:pPr algn="ctr" rtl="0">
                <a:defRPr sz="1000"/>
              </a:pPr>
              <a:r>
                <a:rPr lang="ja-JP" altLang="en-US" sz="1100" b="0" i="0" u="none" strike="noStrike" baseline="0">
                  <a:solidFill>
                    <a:srgbClr val="000000"/>
                  </a:solidFill>
                  <a:latin typeface="游ゴシック"/>
                  <a:ea typeface="游ゴシック"/>
                </a:rPr>
                <a:t>CLMStkGetIssueMstKabu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95250</xdr:rowOff>
        </xdr:from>
        <xdr:to>
          <xdr:col>6</xdr:col>
          <xdr:colOff>9525</xdr:colOff>
          <xdr:row>2</xdr:row>
          <xdr:rowOff>733425</xdr:rowOff>
        </xdr:to>
        <xdr:sp macro="" textlink="">
          <xdr:nvSpPr>
            <xdr:cNvPr id="15363" name="Button 3" hidden="1">
              <a:extLst>
                <a:ext uri="{63B3BB69-23CF-44E3-9099-C40C66FF867C}">
                  <a14:compatExt spid="_x0000_s1536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2.株式銘柄市場マスタ</a:t>
              </a:r>
            </a:p>
            <a:p>
              <a:pPr algn="ctr" rtl="0">
                <a:defRPr sz="1000"/>
              </a:pPr>
              <a:r>
                <a:rPr lang="ja-JP" altLang="en-US" sz="1100" b="0" i="0" u="none" strike="noStrike" baseline="0">
                  <a:solidFill>
                    <a:srgbClr val="000000"/>
                  </a:solidFill>
                  <a:latin typeface="游ゴシック"/>
                  <a:ea typeface="游ゴシック"/>
                </a:rPr>
                <a:t>CLMStkGetIssueSizyouMstKabu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47625</xdr:colOff>
          <xdr:row>2</xdr:row>
          <xdr:rowOff>95250</xdr:rowOff>
        </xdr:from>
        <xdr:to>
          <xdr:col>9</xdr:col>
          <xdr:colOff>2028825</xdr:colOff>
          <xdr:row>2</xdr:row>
          <xdr:rowOff>733425</xdr:rowOff>
        </xdr:to>
        <xdr:sp macro="" textlink="">
          <xdr:nvSpPr>
            <xdr:cNvPr id="15365" name="Button 5" hidden="1">
              <a:extLst>
                <a:ext uri="{63B3BB69-23CF-44E3-9099-C40C66FF867C}">
                  <a14:compatExt spid="_x0000_s1536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3.先物銘柄マスタ</a:t>
              </a:r>
            </a:p>
            <a:p>
              <a:pPr algn="ctr" rtl="0">
                <a:defRPr sz="1000"/>
              </a:pPr>
              <a:r>
                <a:rPr lang="ja-JP" altLang="en-US" sz="1100" b="0" i="0" u="none" strike="noStrike" baseline="0">
                  <a:solidFill>
                    <a:srgbClr val="000000"/>
                  </a:solidFill>
                  <a:latin typeface="游ゴシック"/>
                  <a:ea typeface="游ゴシック"/>
                </a:rPr>
                <a:t>CLMStkGetIssueMstSak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2</xdr:row>
          <xdr:rowOff>95250</xdr:rowOff>
        </xdr:from>
        <xdr:to>
          <xdr:col>13</xdr:col>
          <xdr:colOff>2028825</xdr:colOff>
          <xdr:row>2</xdr:row>
          <xdr:rowOff>733425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4.オプション銘柄マスタ</a:t>
              </a:r>
            </a:p>
            <a:p>
              <a:pPr algn="ctr" rtl="0">
                <a:defRPr sz="1000"/>
              </a:pPr>
              <a:r>
                <a:rPr lang="ja-JP" altLang="en-US" sz="1100" b="0" i="0" u="none" strike="noStrike" baseline="0">
                  <a:solidFill>
                    <a:srgbClr val="000000"/>
                  </a:solidFill>
                  <a:latin typeface="游ゴシック"/>
                  <a:ea typeface="游ゴシック"/>
                </a:rPr>
                <a:t>CLMStkGetIssueMstOp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2</xdr:row>
          <xdr:rowOff>76200</xdr:rowOff>
        </xdr:from>
        <xdr:to>
          <xdr:col>21</xdr:col>
          <xdr:colOff>1847850</xdr:colOff>
          <xdr:row>2</xdr:row>
          <xdr:rowOff>714375</xdr:rowOff>
        </xdr:to>
        <xdr:sp macro="" textlink="">
          <xdr:nvSpPr>
            <xdr:cNvPr id="15372" name="Button 12" hidden="1">
              <a:extLst>
                <a:ext uri="{63B3BB69-23CF-44E3-9099-C40C66FF867C}">
                  <a14:compatExt spid="_x0000_s1537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6.為替銘柄マスタ</a:t>
              </a:r>
            </a:p>
            <a:p>
              <a:pPr algn="ctr" rtl="0">
                <a:defRPr sz="1000"/>
              </a:pPr>
              <a:r>
                <a:rPr lang="ja-JP" altLang="en-US" sz="1100" b="0" i="0" u="none" strike="noStrike" baseline="0">
                  <a:solidFill>
                    <a:srgbClr val="000000"/>
                  </a:solidFill>
                  <a:latin typeface="游ゴシック"/>
                  <a:ea typeface="游ゴシック"/>
                </a:rPr>
                <a:t>CLMStkGetIssueMstFx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47625</xdr:colOff>
          <xdr:row>2</xdr:row>
          <xdr:rowOff>95250</xdr:rowOff>
        </xdr:from>
        <xdr:to>
          <xdr:col>25</xdr:col>
          <xdr:colOff>2028825</xdr:colOff>
          <xdr:row>2</xdr:row>
          <xdr:rowOff>733425</xdr:rowOff>
        </xdr:to>
        <xdr:sp macro="" textlink="">
          <xdr:nvSpPr>
            <xdr:cNvPr id="15373" name="Button 13" hidden="1">
              <a:extLst>
                <a:ext uri="{63B3BB69-23CF-44E3-9099-C40C66FF867C}">
                  <a14:compatExt spid="_x0000_s1537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7.日付情報</a:t>
              </a:r>
            </a:p>
            <a:p>
              <a:pPr algn="ctr" rtl="0">
                <a:defRPr sz="1000"/>
              </a:pPr>
              <a:r>
                <a:rPr lang="ja-JP" altLang="en-US" sz="1100" b="0" i="0" u="none" strike="noStrike" baseline="0">
                  <a:solidFill>
                    <a:srgbClr val="000000"/>
                  </a:solidFill>
                  <a:latin typeface="游ゴシック"/>
                  <a:ea typeface="游ゴシック"/>
                </a:rPr>
                <a:t>CLMStkGetDateZyouhou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47625</xdr:colOff>
          <xdr:row>2</xdr:row>
          <xdr:rowOff>95250</xdr:rowOff>
        </xdr:from>
        <xdr:to>
          <xdr:col>29</xdr:col>
          <xdr:colOff>2028825</xdr:colOff>
          <xdr:row>2</xdr:row>
          <xdr:rowOff>733425</xdr:rowOff>
        </xdr:to>
        <xdr:sp macro="" textlink="">
          <xdr:nvSpPr>
            <xdr:cNvPr id="15377" name="Button 17" hidden="1">
              <a:extLst>
                <a:ext uri="{63B3BB69-23CF-44E3-9099-C40C66FF867C}">
                  <a14:compatExt spid="_x0000_s1537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8.呼値情報</a:t>
              </a:r>
            </a:p>
            <a:p>
              <a:pPr algn="ctr" rtl="0">
                <a:defRPr sz="1000"/>
              </a:pPr>
              <a:r>
                <a:rPr lang="ja-JP" altLang="en-US" sz="1100" b="0" i="0" u="none" strike="noStrike" baseline="0">
                  <a:solidFill>
                    <a:srgbClr val="000000"/>
                  </a:solidFill>
                  <a:latin typeface="游ゴシック"/>
                  <a:ea typeface="游ゴシック"/>
                </a:rPr>
                <a:t>CLMStkGetYobine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47625</xdr:colOff>
          <xdr:row>2</xdr:row>
          <xdr:rowOff>95250</xdr:rowOff>
        </xdr:from>
        <xdr:to>
          <xdr:col>33</xdr:col>
          <xdr:colOff>2028825</xdr:colOff>
          <xdr:row>2</xdr:row>
          <xdr:rowOff>733425</xdr:rowOff>
        </xdr:to>
        <xdr:sp macro="" textlink="">
          <xdr:nvSpPr>
            <xdr:cNvPr id="15379" name="Button 19" hidden="1">
              <a:extLst>
                <a:ext uri="{63B3BB69-23CF-44E3-9099-C40C66FF867C}">
                  <a14:compatExt spid="_x0000_s1537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9.代用掛目情報</a:t>
              </a:r>
            </a:p>
            <a:p>
              <a:pPr algn="ctr" rtl="0">
                <a:defRPr sz="1000"/>
              </a:pPr>
              <a:r>
                <a:rPr lang="ja-JP" altLang="en-US" sz="1100" b="0" i="0" u="none" strike="noStrike" baseline="0">
                  <a:solidFill>
                    <a:srgbClr val="000000"/>
                  </a:solidFill>
                  <a:latin typeface="游ゴシック"/>
                  <a:ea typeface="游ゴシック"/>
                </a:rPr>
                <a:t>CLMStkGetDaiyouKakeme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47625</xdr:colOff>
          <xdr:row>2</xdr:row>
          <xdr:rowOff>95250</xdr:rowOff>
        </xdr:from>
        <xdr:to>
          <xdr:col>37</xdr:col>
          <xdr:colOff>2209800</xdr:colOff>
          <xdr:row>2</xdr:row>
          <xdr:rowOff>733425</xdr:rowOff>
        </xdr:to>
        <xdr:sp macro="" textlink="">
          <xdr:nvSpPr>
            <xdr:cNvPr id="15381" name="Button 21" hidden="1">
              <a:extLst>
                <a:ext uri="{63B3BB69-23CF-44E3-9099-C40C66FF867C}">
                  <a14:compatExt spid="_x0000_s1538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10.株式銘柄別・市場別規制情報</a:t>
              </a:r>
            </a:p>
            <a:p>
              <a:pPr algn="ctr" rtl="0">
                <a:defRPr sz="1000"/>
              </a:pPr>
              <a:r>
                <a:rPr lang="ja-JP" altLang="en-US" sz="1100" b="0" i="0" u="none" strike="noStrike" baseline="0">
                  <a:solidFill>
                    <a:srgbClr val="000000"/>
                  </a:solidFill>
                  <a:latin typeface="游ゴシック"/>
                  <a:ea typeface="游ゴシック"/>
                </a:rPr>
                <a:t>CLMStkGetIssueSizyouKiseiKabu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47625</xdr:colOff>
          <xdr:row>2</xdr:row>
          <xdr:rowOff>95250</xdr:rowOff>
        </xdr:from>
        <xdr:to>
          <xdr:col>41</xdr:col>
          <xdr:colOff>2390775</xdr:colOff>
          <xdr:row>2</xdr:row>
          <xdr:rowOff>733425</xdr:rowOff>
        </xdr:to>
        <xdr:sp macro="" textlink="">
          <xdr:nvSpPr>
            <xdr:cNvPr id="15383" name="Button 23" hidden="1">
              <a:extLst>
                <a:ext uri="{63B3BB69-23CF-44E3-9099-C40C66FF867C}">
                  <a14:compatExt spid="_x0000_s1538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11.派生銘柄別・市場別規制情報</a:t>
              </a:r>
            </a:p>
            <a:p>
              <a:pPr algn="ctr" rtl="0">
                <a:defRPr sz="1000"/>
              </a:pPr>
              <a:r>
                <a:rPr lang="ja-JP" altLang="en-US" sz="1100" b="0" i="0" u="none" strike="noStrike" baseline="0">
                  <a:solidFill>
                    <a:srgbClr val="000000"/>
                  </a:solidFill>
                  <a:latin typeface="游ゴシック"/>
                  <a:ea typeface="游ゴシック"/>
                </a:rPr>
                <a:t>CLMStkGetIssueSizyouKiseiHasei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2</xdr:row>
          <xdr:rowOff>95250</xdr:rowOff>
        </xdr:from>
        <xdr:to>
          <xdr:col>45</xdr:col>
          <xdr:colOff>2028825</xdr:colOff>
          <xdr:row>2</xdr:row>
          <xdr:rowOff>733425</xdr:rowOff>
        </xdr:to>
        <xdr:sp macro="" textlink="">
          <xdr:nvSpPr>
            <xdr:cNvPr id="15385" name="Button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12.保証金マスタ情報</a:t>
              </a:r>
            </a:p>
            <a:p>
              <a:pPr algn="ctr" rtl="0">
                <a:defRPr sz="1000"/>
              </a:pPr>
              <a:r>
                <a:rPr lang="ja-JP" altLang="en-US" sz="1100" b="0" i="0" u="none" strike="noStrike" baseline="0">
                  <a:solidFill>
                    <a:srgbClr val="000000"/>
                  </a:solidFill>
                  <a:latin typeface="游ゴシック"/>
                  <a:ea typeface="游ゴシック"/>
                </a:rPr>
                <a:t>CLMStkGetHosyoukinMst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47625</xdr:colOff>
          <xdr:row>2</xdr:row>
          <xdr:rowOff>95250</xdr:rowOff>
        </xdr:from>
        <xdr:to>
          <xdr:col>49</xdr:col>
          <xdr:colOff>2390775</xdr:colOff>
          <xdr:row>2</xdr:row>
          <xdr:rowOff>733425</xdr:rowOff>
        </xdr:to>
        <xdr:sp macro="" textlink="">
          <xdr:nvSpPr>
            <xdr:cNvPr id="15387" name="Button 27" hidden="1">
              <a:extLst>
                <a:ext uri="{63B3BB69-23CF-44E3-9099-C40C66FF867C}">
                  <a14:compatExt spid="_x0000_s1538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13.取引所エラー等理由コード情報</a:t>
              </a:r>
            </a:p>
            <a:p>
              <a:pPr algn="ctr" rtl="0">
                <a:defRPr sz="1000"/>
              </a:pPr>
              <a:r>
                <a:rPr lang="ja-JP" altLang="en-US" sz="1100" b="0" i="0" u="none" strike="noStrike" baseline="0">
                  <a:solidFill>
                    <a:srgbClr val="000000"/>
                  </a:solidFill>
                  <a:latin typeface="游ゴシック"/>
                  <a:ea typeface="游ゴシック"/>
                </a:rPr>
                <a:t>CLMStkGetOrderErrReason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2</xdr:row>
          <xdr:rowOff>95250</xdr:rowOff>
        </xdr:from>
        <xdr:to>
          <xdr:col>17</xdr:col>
          <xdr:colOff>2028825</xdr:colOff>
          <xdr:row>2</xdr:row>
          <xdr:rowOff>733425</xdr:rowOff>
        </xdr:to>
        <xdr:sp macro="" textlink="">
          <xdr:nvSpPr>
            <xdr:cNvPr id="15391" name="Button 31" hidden="1">
              <a:extLst>
                <a:ext uri="{63B3BB69-23CF-44E3-9099-C40C66FF867C}">
                  <a14:compatExt spid="_x0000_s1539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5.指数銘柄マスタ</a:t>
              </a:r>
            </a:p>
            <a:p>
              <a:pPr algn="ctr" rtl="0">
                <a:defRPr sz="1000"/>
              </a:pPr>
              <a:r>
                <a:rPr lang="ja-JP" altLang="en-US" sz="1100" b="0" i="0" u="none" strike="noStrike" baseline="0">
                  <a:solidFill>
                    <a:srgbClr val="000000"/>
                  </a:solidFill>
                  <a:latin typeface="游ゴシック"/>
                  <a:ea typeface="游ゴシック"/>
                </a:rPr>
                <a:t>CLMStkGetIssueMstIndex</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5.vml"/><Relationship Id="rId7" Type="http://schemas.openxmlformats.org/officeDocument/2006/relationships/ctrlProp" Target="../ctrlProps/ctrlProp14.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3" Type="http://schemas.openxmlformats.org/officeDocument/2006/relationships/ctrlProp" Target="../ctrlProps/ctrlProp23.xml"/><Relationship Id="rId7" Type="http://schemas.openxmlformats.org/officeDocument/2006/relationships/ctrlProp" Target="../ctrlProps/ctrlProp27.xml"/><Relationship Id="rId12" Type="http://schemas.openxmlformats.org/officeDocument/2006/relationships/ctrlProp" Target="../ctrlProps/ctrlProp32.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35"/>
  <sheetViews>
    <sheetView tabSelected="1" zoomScaleNormal="100" workbookViewId="0"/>
  </sheetViews>
  <sheetFormatPr defaultRowHeight="16.5" x14ac:dyDescent="0.4"/>
  <cols>
    <col min="1" max="1" width="4.625" style="1" customWidth="1"/>
    <col min="2" max="2" width="35.75" style="1" customWidth="1"/>
    <col min="3" max="3" width="8.75" style="1" customWidth="1"/>
    <col min="4" max="4" width="24.5" style="1" customWidth="1"/>
    <col min="5" max="5" width="32.5" style="1" customWidth="1"/>
    <col min="6" max="6" width="9.375" style="1" bestFit="1" customWidth="1"/>
    <col min="7" max="10" width="9" style="1"/>
    <col min="11" max="11" width="9.375" style="1" bestFit="1" customWidth="1"/>
    <col min="12" max="16384" width="9" style="1"/>
  </cols>
  <sheetData>
    <row r="1" spans="1:12" x14ac:dyDescent="0.4">
      <c r="A1" s="1" t="s">
        <v>39</v>
      </c>
      <c r="J1" s="1" t="s">
        <v>0</v>
      </c>
      <c r="K1" s="2" t="s">
        <v>42</v>
      </c>
      <c r="L1" s="1" t="s">
        <v>1</v>
      </c>
    </row>
    <row r="2" spans="1:12" x14ac:dyDescent="0.4">
      <c r="J2" s="1" t="s">
        <v>2</v>
      </c>
      <c r="K2" s="2" t="s">
        <v>413</v>
      </c>
      <c r="L2" s="1" t="s">
        <v>1</v>
      </c>
    </row>
    <row r="3" spans="1:12" x14ac:dyDescent="0.4">
      <c r="A3" s="1" t="s">
        <v>3</v>
      </c>
      <c r="K3" s="2"/>
    </row>
    <row r="4" spans="1:12" x14ac:dyDescent="0.4">
      <c r="B4" s="1" t="s">
        <v>4</v>
      </c>
      <c r="K4" s="2"/>
    </row>
    <row r="5" spans="1:12" x14ac:dyDescent="0.4">
      <c r="B5" s="1" t="s">
        <v>40</v>
      </c>
      <c r="K5" s="2"/>
    </row>
    <row r="6" spans="1:12" x14ac:dyDescent="0.4">
      <c r="K6" s="2"/>
    </row>
    <row r="7" spans="1:12" x14ac:dyDescent="0.4">
      <c r="K7" s="2"/>
    </row>
    <row r="8" spans="1:12" x14ac:dyDescent="0.4">
      <c r="A8" s="1" t="s">
        <v>5</v>
      </c>
      <c r="K8" s="2"/>
    </row>
    <row r="9" spans="1:12" x14ac:dyDescent="0.4">
      <c r="B9" s="1" t="s">
        <v>6</v>
      </c>
      <c r="K9" s="2"/>
    </row>
    <row r="10" spans="1:12" x14ac:dyDescent="0.4">
      <c r="B10" s="1" t="s">
        <v>7</v>
      </c>
      <c r="K10" s="2"/>
    </row>
    <row r="11" spans="1:12" x14ac:dyDescent="0.4">
      <c r="K11" s="2"/>
    </row>
    <row r="12" spans="1:12" x14ac:dyDescent="0.4">
      <c r="K12" s="2"/>
    </row>
    <row r="13" spans="1:12" x14ac:dyDescent="0.4">
      <c r="A13" s="1" t="s">
        <v>8</v>
      </c>
      <c r="K13" s="2"/>
    </row>
    <row r="14" spans="1:12" x14ac:dyDescent="0.4">
      <c r="A14" s="1">
        <v>1</v>
      </c>
      <c r="B14" s="1" t="s">
        <v>567</v>
      </c>
      <c r="C14" s="1" t="s">
        <v>9</v>
      </c>
      <c r="D14" s="1" t="s">
        <v>10</v>
      </c>
      <c r="K14" s="2"/>
    </row>
    <row r="15" spans="1:12" x14ac:dyDescent="0.4">
      <c r="B15" s="1" t="s">
        <v>568</v>
      </c>
      <c r="C15" s="1" t="s">
        <v>11</v>
      </c>
      <c r="D15" s="1" t="s">
        <v>12</v>
      </c>
      <c r="K15" s="2"/>
    </row>
    <row r="16" spans="1:12" x14ac:dyDescent="0.4">
      <c r="K16" s="2"/>
    </row>
    <row r="17" spans="1:11" x14ac:dyDescent="0.4">
      <c r="A17" s="1">
        <v>2</v>
      </c>
      <c r="B17" s="1" t="s">
        <v>151</v>
      </c>
      <c r="K17" s="2"/>
    </row>
    <row r="18" spans="1:11" x14ac:dyDescent="0.4">
      <c r="C18" s="21" t="s">
        <v>153</v>
      </c>
      <c r="D18" s="1" t="s">
        <v>152</v>
      </c>
      <c r="E18" s="1" t="s">
        <v>155</v>
      </c>
      <c r="K18" s="2"/>
    </row>
    <row r="19" spans="1:11" x14ac:dyDescent="0.4">
      <c r="B19" s="1">
        <v>1</v>
      </c>
      <c r="C19" s="44" t="s">
        <v>360</v>
      </c>
      <c r="D19" s="1" t="s">
        <v>132</v>
      </c>
      <c r="E19" s="1" t="s">
        <v>156</v>
      </c>
      <c r="K19" s="2"/>
    </row>
    <row r="20" spans="1:11" x14ac:dyDescent="0.4">
      <c r="B20" s="1">
        <f>B19+1</f>
        <v>2</v>
      </c>
      <c r="C20" s="44" t="s">
        <v>360</v>
      </c>
      <c r="D20" s="1" t="s">
        <v>133</v>
      </c>
      <c r="E20" s="1" t="s">
        <v>157</v>
      </c>
      <c r="K20" s="2"/>
    </row>
    <row r="21" spans="1:11" x14ac:dyDescent="0.4">
      <c r="B21" s="1">
        <f t="shared" ref="B21:B52" si="0">B20+1</f>
        <v>3</v>
      </c>
      <c r="C21" s="45" t="s">
        <v>164</v>
      </c>
      <c r="D21" s="1" t="s">
        <v>137</v>
      </c>
      <c r="E21" s="1" t="s">
        <v>162</v>
      </c>
      <c r="K21" s="2"/>
    </row>
    <row r="22" spans="1:11" x14ac:dyDescent="0.4">
      <c r="B22" s="1">
        <f t="shared" si="0"/>
        <v>4</v>
      </c>
      <c r="C22" s="45" t="s">
        <v>164</v>
      </c>
      <c r="D22" s="1" t="s">
        <v>73</v>
      </c>
      <c r="E22" s="1" t="s">
        <v>163</v>
      </c>
      <c r="K22" s="2"/>
    </row>
    <row r="23" spans="1:11" x14ac:dyDescent="0.4">
      <c r="B23" s="1">
        <f t="shared" si="0"/>
        <v>5</v>
      </c>
      <c r="C23" s="45" t="s">
        <v>164</v>
      </c>
      <c r="D23" s="1" t="s">
        <v>138</v>
      </c>
      <c r="E23" s="1" t="s">
        <v>139</v>
      </c>
      <c r="K23" s="2"/>
    </row>
    <row r="24" spans="1:11" x14ac:dyDescent="0.4">
      <c r="B24" s="1">
        <f t="shared" si="0"/>
        <v>6</v>
      </c>
      <c r="C24" s="45" t="s">
        <v>164</v>
      </c>
      <c r="D24" s="1" t="s">
        <v>140</v>
      </c>
      <c r="E24" s="1" t="s">
        <v>141</v>
      </c>
      <c r="K24" s="2"/>
    </row>
    <row r="25" spans="1:11" x14ac:dyDescent="0.4">
      <c r="B25" s="1">
        <f t="shared" si="0"/>
        <v>7</v>
      </c>
      <c r="C25" s="45" t="s">
        <v>154</v>
      </c>
      <c r="D25" s="1" t="s">
        <v>135</v>
      </c>
      <c r="E25" s="1" t="s">
        <v>160</v>
      </c>
      <c r="K25" s="2"/>
    </row>
    <row r="26" spans="1:11" x14ac:dyDescent="0.4">
      <c r="B26" s="1">
        <f t="shared" si="0"/>
        <v>8</v>
      </c>
      <c r="C26" s="45" t="s">
        <v>154</v>
      </c>
      <c r="D26" s="1" t="s">
        <v>93</v>
      </c>
      <c r="E26" s="1" t="s">
        <v>94</v>
      </c>
      <c r="K26" s="2"/>
    </row>
    <row r="27" spans="1:11" x14ac:dyDescent="0.4">
      <c r="B27" s="1">
        <f t="shared" si="0"/>
        <v>9</v>
      </c>
      <c r="C27" s="45" t="s">
        <v>154</v>
      </c>
      <c r="D27" s="1" t="s">
        <v>134</v>
      </c>
      <c r="E27" s="1" t="s">
        <v>95</v>
      </c>
      <c r="K27" s="2"/>
    </row>
    <row r="28" spans="1:11" x14ac:dyDescent="0.4">
      <c r="B28" s="1">
        <f t="shared" si="0"/>
        <v>10</v>
      </c>
      <c r="C28" s="45" t="s">
        <v>154</v>
      </c>
      <c r="D28" s="1" t="s">
        <v>96</v>
      </c>
      <c r="E28" s="1" t="s">
        <v>158</v>
      </c>
      <c r="K28" s="2"/>
    </row>
    <row r="29" spans="1:11" x14ac:dyDescent="0.4">
      <c r="B29" s="1">
        <f t="shared" si="0"/>
        <v>11</v>
      </c>
      <c r="C29" s="45" t="s">
        <v>154</v>
      </c>
      <c r="D29" s="1" t="s">
        <v>136</v>
      </c>
      <c r="E29" s="1" t="s">
        <v>161</v>
      </c>
      <c r="K29" s="2"/>
    </row>
    <row r="30" spans="1:11" x14ac:dyDescent="0.4">
      <c r="B30" s="1">
        <f t="shared" si="0"/>
        <v>12</v>
      </c>
      <c r="C30" s="45" t="s">
        <v>154</v>
      </c>
      <c r="D30" s="1" t="s">
        <v>97</v>
      </c>
      <c r="E30" s="1" t="s">
        <v>98</v>
      </c>
      <c r="K30" s="2"/>
    </row>
    <row r="31" spans="1:11" x14ac:dyDescent="0.4">
      <c r="B31" s="1">
        <f t="shared" si="0"/>
        <v>13</v>
      </c>
      <c r="C31" s="45" t="s">
        <v>165</v>
      </c>
      <c r="D31" s="1" t="s">
        <v>102</v>
      </c>
      <c r="E31" s="1" t="s">
        <v>103</v>
      </c>
      <c r="K31" s="2"/>
    </row>
    <row r="32" spans="1:11" x14ac:dyDescent="0.4">
      <c r="B32" s="1">
        <f t="shared" si="0"/>
        <v>14</v>
      </c>
      <c r="C32" s="45" t="s">
        <v>165</v>
      </c>
      <c r="D32" s="1" t="s">
        <v>143</v>
      </c>
      <c r="E32" s="1" t="s">
        <v>144</v>
      </c>
      <c r="K32" s="2"/>
    </row>
    <row r="33" spans="2:11" x14ac:dyDescent="0.4">
      <c r="B33" s="1">
        <f t="shared" si="0"/>
        <v>15</v>
      </c>
      <c r="C33" s="45" t="s">
        <v>165</v>
      </c>
      <c r="D33" s="1" t="s">
        <v>142</v>
      </c>
      <c r="E33" s="1" t="s">
        <v>116</v>
      </c>
      <c r="K33" s="2"/>
    </row>
    <row r="34" spans="2:11" x14ac:dyDescent="0.4">
      <c r="B34" s="1">
        <f t="shared" si="0"/>
        <v>16</v>
      </c>
      <c r="C34" s="45" t="s">
        <v>165</v>
      </c>
      <c r="D34" s="1" t="s">
        <v>145</v>
      </c>
      <c r="E34" s="1" t="s">
        <v>146</v>
      </c>
      <c r="K34" s="2"/>
    </row>
    <row r="35" spans="2:11" x14ac:dyDescent="0.4">
      <c r="B35" s="1">
        <f t="shared" si="0"/>
        <v>17</v>
      </c>
      <c r="C35" s="45" t="s">
        <v>165</v>
      </c>
      <c r="D35" s="1" t="s">
        <v>147</v>
      </c>
      <c r="E35" s="1" t="s">
        <v>148</v>
      </c>
      <c r="K35" s="2"/>
    </row>
    <row r="36" spans="2:11" x14ac:dyDescent="0.4">
      <c r="B36" s="1">
        <f t="shared" si="0"/>
        <v>18</v>
      </c>
      <c r="C36" s="45" t="s">
        <v>165</v>
      </c>
      <c r="D36" s="1" t="s">
        <v>166</v>
      </c>
      <c r="E36" s="1" t="s">
        <v>167</v>
      </c>
      <c r="K36" s="2"/>
    </row>
    <row r="37" spans="2:11" x14ac:dyDescent="0.4">
      <c r="B37" s="1">
        <f t="shared" si="0"/>
        <v>19</v>
      </c>
      <c r="C37" s="45" t="s">
        <v>165</v>
      </c>
      <c r="D37" s="1" t="s">
        <v>149</v>
      </c>
      <c r="E37" s="1" t="s">
        <v>150</v>
      </c>
      <c r="K37" s="2"/>
    </row>
    <row r="38" spans="2:11" x14ac:dyDescent="0.4">
      <c r="B38" s="1">
        <f t="shared" si="0"/>
        <v>20</v>
      </c>
      <c r="C38" s="45" t="s">
        <v>344</v>
      </c>
      <c r="D38" s="1" t="s">
        <v>345</v>
      </c>
      <c r="E38" s="1" t="s">
        <v>347</v>
      </c>
      <c r="K38" s="2"/>
    </row>
    <row r="39" spans="2:11" x14ac:dyDescent="0.4">
      <c r="B39" s="1">
        <f t="shared" si="0"/>
        <v>21</v>
      </c>
      <c r="C39" s="45" t="s">
        <v>344</v>
      </c>
      <c r="D39" s="1" t="s">
        <v>346</v>
      </c>
      <c r="E39" s="1" t="s">
        <v>348</v>
      </c>
      <c r="K39" s="2"/>
    </row>
    <row r="40" spans="2:11" x14ac:dyDescent="0.4">
      <c r="B40" s="1">
        <f t="shared" si="0"/>
        <v>22</v>
      </c>
      <c r="C40" s="45" t="s">
        <v>352</v>
      </c>
      <c r="D40" s="1" t="s">
        <v>550</v>
      </c>
      <c r="E40" s="1" t="s">
        <v>476</v>
      </c>
      <c r="K40" s="2"/>
    </row>
    <row r="41" spans="2:11" x14ac:dyDescent="0.4">
      <c r="B41" s="1">
        <f t="shared" si="0"/>
        <v>23</v>
      </c>
      <c r="C41" s="45" t="s">
        <v>352</v>
      </c>
      <c r="D41" s="1" t="s">
        <v>471</v>
      </c>
      <c r="E41" s="1" t="s">
        <v>478</v>
      </c>
      <c r="K41" s="2"/>
    </row>
    <row r="42" spans="2:11" x14ac:dyDescent="0.4">
      <c r="B42" s="1">
        <f t="shared" si="0"/>
        <v>24</v>
      </c>
      <c r="C42" s="45" t="s">
        <v>352</v>
      </c>
      <c r="D42" s="1" t="s">
        <v>472</v>
      </c>
      <c r="E42" s="1" t="s">
        <v>480</v>
      </c>
      <c r="K42" s="2"/>
    </row>
    <row r="43" spans="2:11" x14ac:dyDescent="0.4">
      <c r="B43" s="1">
        <f t="shared" si="0"/>
        <v>25</v>
      </c>
      <c r="C43" s="45" t="s">
        <v>352</v>
      </c>
      <c r="D43" s="1" t="s">
        <v>473</v>
      </c>
      <c r="E43" s="1" t="s">
        <v>482</v>
      </c>
      <c r="K43" s="2"/>
    </row>
    <row r="44" spans="2:11" x14ac:dyDescent="0.4">
      <c r="B44" s="1">
        <f t="shared" si="0"/>
        <v>26</v>
      </c>
      <c r="C44" s="45" t="s">
        <v>352</v>
      </c>
      <c r="D44" s="1" t="s">
        <v>474</v>
      </c>
      <c r="E44" s="1" t="s">
        <v>551</v>
      </c>
      <c r="K44" s="2"/>
    </row>
    <row r="45" spans="2:11" x14ac:dyDescent="0.4">
      <c r="B45" s="1">
        <f t="shared" si="0"/>
        <v>27</v>
      </c>
      <c r="C45" s="45" t="s">
        <v>352</v>
      </c>
      <c r="D45" s="1" t="s">
        <v>475</v>
      </c>
      <c r="E45" s="1" t="s">
        <v>552</v>
      </c>
      <c r="K45" s="2"/>
    </row>
    <row r="46" spans="2:11" x14ac:dyDescent="0.4">
      <c r="B46" s="1">
        <f t="shared" si="0"/>
        <v>28</v>
      </c>
      <c r="C46" s="45" t="s">
        <v>352</v>
      </c>
      <c r="D46" s="1" t="s">
        <v>553</v>
      </c>
      <c r="E46" s="1" t="s">
        <v>554</v>
      </c>
      <c r="K46" s="2"/>
    </row>
    <row r="47" spans="2:11" x14ac:dyDescent="0.4">
      <c r="B47" s="1">
        <f t="shared" si="0"/>
        <v>29</v>
      </c>
      <c r="C47" s="45" t="s">
        <v>352</v>
      </c>
      <c r="D47" s="1" t="s">
        <v>555</v>
      </c>
      <c r="E47" s="1" t="s">
        <v>556</v>
      </c>
      <c r="K47" s="2"/>
    </row>
    <row r="48" spans="2:11" x14ac:dyDescent="0.4">
      <c r="B48" s="1">
        <f t="shared" si="0"/>
        <v>30</v>
      </c>
      <c r="C48" s="45" t="s">
        <v>352</v>
      </c>
      <c r="D48" s="1" t="s">
        <v>557</v>
      </c>
      <c r="E48" s="1" t="s">
        <v>558</v>
      </c>
      <c r="K48" s="2"/>
    </row>
    <row r="49" spans="1:11" x14ac:dyDescent="0.4">
      <c r="B49" s="1">
        <f t="shared" si="0"/>
        <v>31</v>
      </c>
      <c r="C49" s="45" t="s">
        <v>352</v>
      </c>
      <c r="D49" s="1" t="s">
        <v>559</v>
      </c>
      <c r="E49" s="1" t="s">
        <v>560</v>
      </c>
      <c r="K49" s="2"/>
    </row>
    <row r="50" spans="1:11" x14ac:dyDescent="0.4">
      <c r="B50" s="1">
        <f t="shared" si="0"/>
        <v>32</v>
      </c>
      <c r="C50" s="45" t="s">
        <v>352</v>
      </c>
      <c r="D50" s="1" t="s">
        <v>561</v>
      </c>
      <c r="E50" s="1" t="s">
        <v>562</v>
      </c>
      <c r="K50" s="2"/>
    </row>
    <row r="51" spans="1:11" x14ac:dyDescent="0.4">
      <c r="B51" s="1">
        <f t="shared" si="0"/>
        <v>33</v>
      </c>
      <c r="C51" s="45" t="s">
        <v>352</v>
      </c>
      <c r="D51" s="1" t="s">
        <v>563</v>
      </c>
      <c r="E51" s="1" t="s">
        <v>564</v>
      </c>
      <c r="K51" s="2"/>
    </row>
    <row r="52" spans="1:11" x14ac:dyDescent="0.4">
      <c r="B52" s="1">
        <f t="shared" si="0"/>
        <v>34</v>
      </c>
      <c r="C52" s="45" t="s">
        <v>352</v>
      </c>
      <c r="D52" s="1" t="s">
        <v>565</v>
      </c>
      <c r="E52" s="1" t="s">
        <v>566</v>
      </c>
      <c r="K52" s="2"/>
    </row>
    <row r="53" spans="1:11" x14ac:dyDescent="0.4">
      <c r="C53" s="45"/>
      <c r="K53" s="2"/>
    </row>
    <row r="54" spans="1:11" x14ac:dyDescent="0.4">
      <c r="K54" s="2"/>
    </row>
    <row r="55" spans="1:11" x14ac:dyDescent="0.4">
      <c r="K55" s="2"/>
    </row>
    <row r="56" spans="1:11" x14ac:dyDescent="0.4">
      <c r="K56" s="2"/>
    </row>
    <row r="57" spans="1:11" x14ac:dyDescent="0.4">
      <c r="A57" s="1" t="s">
        <v>13</v>
      </c>
      <c r="K57" s="2"/>
    </row>
    <row r="58" spans="1:11" x14ac:dyDescent="0.4">
      <c r="B58" s="1" t="s">
        <v>14</v>
      </c>
      <c r="K58" s="2"/>
    </row>
    <row r="59" spans="1:11" x14ac:dyDescent="0.4">
      <c r="B59" s="1" t="s">
        <v>414</v>
      </c>
      <c r="K59" s="2"/>
    </row>
    <row r="60" spans="1:11" x14ac:dyDescent="0.4">
      <c r="B60" s="20" t="s">
        <v>417</v>
      </c>
      <c r="K60" s="2"/>
    </row>
    <row r="61" spans="1:11" ht="18.75" x14ac:dyDescent="0.4">
      <c r="B61" s="56" t="s">
        <v>569</v>
      </c>
      <c r="C61" s="56"/>
      <c r="K61" s="2"/>
    </row>
    <row r="62" spans="1:11" ht="18.75" x14ac:dyDescent="0.4">
      <c r="B62" s="56" t="s">
        <v>570</v>
      </c>
      <c r="C62" s="56"/>
      <c r="K62" s="2"/>
    </row>
    <row r="63" spans="1:11" x14ac:dyDescent="0.4">
      <c r="K63" s="2"/>
    </row>
    <row r="64" spans="1:11" x14ac:dyDescent="0.4">
      <c r="A64" s="1" t="s">
        <v>15</v>
      </c>
      <c r="K64" s="2"/>
    </row>
    <row r="65" spans="1:11" x14ac:dyDescent="0.4">
      <c r="A65" s="1">
        <v>1</v>
      </c>
      <c r="B65" s="1" t="s">
        <v>16</v>
      </c>
      <c r="K65" s="2"/>
    </row>
    <row r="66" spans="1:11" x14ac:dyDescent="0.4">
      <c r="A66" s="1">
        <v>2</v>
      </c>
      <c r="B66" s="1" t="s">
        <v>442</v>
      </c>
      <c r="K66" s="2"/>
    </row>
    <row r="67" spans="1:11" x14ac:dyDescent="0.4">
      <c r="A67" s="1">
        <v>3</v>
      </c>
      <c r="B67" s="1" t="s">
        <v>17</v>
      </c>
      <c r="K67" s="2"/>
    </row>
    <row r="68" spans="1:11" x14ac:dyDescent="0.4">
      <c r="A68" s="1">
        <v>4</v>
      </c>
      <c r="B68" s="1" t="s">
        <v>358</v>
      </c>
      <c r="K68" s="2"/>
    </row>
    <row r="69" spans="1:11" x14ac:dyDescent="0.4">
      <c r="B69" s="1" t="s">
        <v>356</v>
      </c>
      <c r="K69" s="2"/>
    </row>
    <row r="70" spans="1:11" x14ac:dyDescent="0.4">
      <c r="B70" s="1" t="s">
        <v>357</v>
      </c>
      <c r="K70" s="2"/>
    </row>
    <row r="71" spans="1:11" x14ac:dyDescent="0.4">
      <c r="A71" s="1">
        <v>5</v>
      </c>
      <c r="B71" s="1" t="s">
        <v>18</v>
      </c>
      <c r="K71" s="2"/>
    </row>
    <row r="72" spans="1:11" x14ac:dyDescent="0.4">
      <c r="B72" s="1" t="s">
        <v>19</v>
      </c>
      <c r="K72" s="2"/>
    </row>
    <row r="73" spans="1:11" x14ac:dyDescent="0.4">
      <c r="A73" s="1">
        <v>6</v>
      </c>
      <c r="B73" s="1" t="s">
        <v>20</v>
      </c>
      <c r="K73" s="2"/>
    </row>
    <row r="74" spans="1:11" x14ac:dyDescent="0.4">
      <c r="B74" s="1" t="s">
        <v>172</v>
      </c>
      <c r="K74" s="2"/>
    </row>
    <row r="75" spans="1:11" x14ac:dyDescent="0.4">
      <c r="B75" s="1" t="s">
        <v>21</v>
      </c>
      <c r="K75" s="2"/>
    </row>
    <row r="76" spans="1:11" x14ac:dyDescent="0.4">
      <c r="A76" s="1">
        <v>7</v>
      </c>
      <c r="B76" s="1" t="s">
        <v>22</v>
      </c>
      <c r="K76" s="2"/>
    </row>
    <row r="77" spans="1:11" x14ac:dyDescent="0.4">
      <c r="A77" s="1">
        <v>8</v>
      </c>
      <c r="B77" s="1" t="s">
        <v>41</v>
      </c>
      <c r="K77" s="2"/>
    </row>
    <row r="78" spans="1:11" x14ac:dyDescent="0.4">
      <c r="A78" s="1">
        <v>9</v>
      </c>
      <c r="B78" s="1" t="s">
        <v>443</v>
      </c>
      <c r="K78" s="2"/>
    </row>
    <row r="79" spans="1:11" x14ac:dyDescent="0.4">
      <c r="B79" s="1" t="s">
        <v>23</v>
      </c>
      <c r="K79" s="2"/>
    </row>
    <row r="80" spans="1:11" x14ac:dyDescent="0.4">
      <c r="B80" s="1" t="s">
        <v>24</v>
      </c>
      <c r="K80" s="2"/>
    </row>
    <row r="81" spans="1:11" x14ac:dyDescent="0.4">
      <c r="K81" s="2"/>
    </row>
    <row r="82" spans="1:11" x14ac:dyDescent="0.4">
      <c r="A82" s="1">
        <v>10</v>
      </c>
      <c r="B82" s="1" t="s">
        <v>658</v>
      </c>
      <c r="K82" s="2"/>
    </row>
    <row r="83" spans="1:11" x14ac:dyDescent="0.4">
      <c r="B83" s="1" t="s">
        <v>659</v>
      </c>
      <c r="K83" s="2"/>
    </row>
    <row r="84" spans="1:11" x14ac:dyDescent="0.4">
      <c r="B84" s="1" t="s">
        <v>660</v>
      </c>
      <c r="K84" s="2"/>
    </row>
    <row r="85" spans="1:11" x14ac:dyDescent="0.4">
      <c r="K85" s="2"/>
    </row>
    <row r="86" spans="1:11" x14ac:dyDescent="0.4">
      <c r="K86" s="2"/>
    </row>
    <row r="87" spans="1:11" x14ac:dyDescent="0.4">
      <c r="K87" s="2"/>
    </row>
    <row r="88" spans="1:11" x14ac:dyDescent="0.4">
      <c r="A88" s="1" t="s">
        <v>572</v>
      </c>
      <c r="K88" s="2"/>
    </row>
    <row r="89" spans="1:11" x14ac:dyDescent="0.4">
      <c r="A89" s="1">
        <v>1</v>
      </c>
      <c r="B89" s="1" t="s">
        <v>651</v>
      </c>
      <c r="K89" s="2"/>
    </row>
    <row r="90" spans="1:11" x14ac:dyDescent="0.4">
      <c r="B90" s="1" t="s">
        <v>652</v>
      </c>
      <c r="K90" s="2"/>
    </row>
    <row r="91" spans="1:11" x14ac:dyDescent="0.4">
      <c r="K91" s="2"/>
    </row>
    <row r="92" spans="1:11" x14ac:dyDescent="0.4">
      <c r="A92" s="1">
        <v>2</v>
      </c>
      <c r="B92" s="1" t="s">
        <v>576</v>
      </c>
      <c r="K92" s="2"/>
    </row>
    <row r="93" spans="1:11" x14ac:dyDescent="0.4">
      <c r="B93" s="1" t="s">
        <v>650</v>
      </c>
      <c r="K93" s="2"/>
    </row>
    <row r="94" spans="1:11" x14ac:dyDescent="0.4">
      <c r="K94" s="2"/>
    </row>
    <row r="95" spans="1:11" x14ac:dyDescent="0.4">
      <c r="A95" s="2" t="s">
        <v>573</v>
      </c>
      <c r="K95" s="2"/>
    </row>
    <row r="96" spans="1:11" x14ac:dyDescent="0.4">
      <c r="A96" s="1">
        <v>1</v>
      </c>
      <c r="B96" s="1" t="s">
        <v>25</v>
      </c>
      <c r="K96" s="2"/>
    </row>
    <row r="97" spans="1:11" x14ac:dyDescent="0.4">
      <c r="A97" s="1">
        <v>2</v>
      </c>
      <c r="B97" s="43" t="s">
        <v>26</v>
      </c>
      <c r="K97" s="2"/>
    </row>
    <row r="98" spans="1:11" x14ac:dyDescent="0.4">
      <c r="A98" s="1">
        <v>3</v>
      </c>
      <c r="B98" s="1" t="s">
        <v>27</v>
      </c>
      <c r="K98" s="2"/>
    </row>
    <row r="99" spans="1:11" x14ac:dyDescent="0.4">
      <c r="B99" s="1" t="s">
        <v>28</v>
      </c>
      <c r="K99" s="2"/>
    </row>
    <row r="100" spans="1:11" x14ac:dyDescent="0.4">
      <c r="B100" s="1" t="s">
        <v>29</v>
      </c>
      <c r="K100" s="2"/>
    </row>
    <row r="101" spans="1:11" x14ac:dyDescent="0.4">
      <c r="B101" s="1" t="s">
        <v>30</v>
      </c>
      <c r="K101" s="2"/>
    </row>
    <row r="102" spans="1:11" x14ac:dyDescent="0.4">
      <c r="K102" s="2"/>
    </row>
    <row r="103" spans="1:11" x14ac:dyDescent="0.4">
      <c r="A103" s="1">
        <v>4</v>
      </c>
      <c r="B103" s="1" t="s">
        <v>173</v>
      </c>
      <c r="K103" s="2"/>
    </row>
    <row r="104" spans="1:11" x14ac:dyDescent="0.4">
      <c r="B104" s="1" t="s">
        <v>130</v>
      </c>
      <c r="C104" s="17"/>
      <c r="K104" s="2"/>
    </row>
    <row r="105" spans="1:11" ht="18.75" x14ac:dyDescent="0.4">
      <c r="B105" s="1" t="s">
        <v>174</v>
      </c>
      <c r="C105" s="8"/>
      <c r="K105" s="2"/>
    </row>
    <row r="106" spans="1:11" ht="18.75" x14ac:dyDescent="0.4">
      <c r="C106" s="23"/>
      <c r="K106" s="2"/>
    </row>
    <row r="107" spans="1:11" x14ac:dyDescent="0.4">
      <c r="A107" s="1">
        <v>5</v>
      </c>
      <c r="B107" s="1" t="s">
        <v>653</v>
      </c>
      <c r="K107" s="2"/>
    </row>
    <row r="108" spans="1:11" x14ac:dyDescent="0.4">
      <c r="K108" s="2"/>
    </row>
    <row r="109" spans="1:11" x14ac:dyDescent="0.4">
      <c r="A109" s="1">
        <f>A107+1</f>
        <v>6</v>
      </c>
      <c r="B109" s="57" t="s">
        <v>415</v>
      </c>
      <c r="K109" s="2"/>
    </row>
    <row r="110" spans="1:11" x14ac:dyDescent="0.4">
      <c r="K110" s="2"/>
    </row>
    <row r="111" spans="1:11" x14ac:dyDescent="0.4">
      <c r="A111" s="1">
        <f>A109+1</f>
        <v>7</v>
      </c>
      <c r="B111" s="1" t="s">
        <v>416</v>
      </c>
      <c r="K111" s="2"/>
    </row>
    <row r="112" spans="1:11" x14ac:dyDescent="0.4">
      <c r="B112" s="6" t="s">
        <v>131</v>
      </c>
      <c r="K112" s="2"/>
    </row>
    <row r="113" spans="1:11" x14ac:dyDescent="0.4">
      <c r="B113" s="6"/>
      <c r="K113" s="2"/>
    </row>
    <row r="114" spans="1:11" x14ac:dyDescent="0.4">
      <c r="A114" s="1">
        <f>A111+1</f>
        <v>8</v>
      </c>
      <c r="B114" s="22" t="s">
        <v>177</v>
      </c>
      <c r="K114" s="2"/>
    </row>
    <row r="115" spans="1:11" x14ac:dyDescent="0.4">
      <c r="K115" s="2"/>
    </row>
    <row r="116" spans="1:11" x14ac:dyDescent="0.4">
      <c r="A116" s="1">
        <f>A114+1</f>
        <v>9</v>
      </c>
      <c r="B116" s="1" t="s">
        <v>349</v>
      </c>
      <c r="K116" s="2"/>
    </row>
    <row r="117" spans="1:11" x14ac:dyDescent="0.4">
      <c r="K117" s="2"/>
    </row>
    <row r="118" spans="1:11" x14ac:dyDescent="0.4">
      <c r="B118" s="1" t="s">
        <v>31</v>
      </c>
      <c r="I118" s="2"/>
      <c r="K118" s="2"/>
    </row>
    <row r="119" spans="1:11" x14ac:dyDescent="0.4">
      <c r="K119" s="2"/>
    </row>
    <row r="120" spans="1:11" x14ac:dyDescent="0.4">
      <c r="I120" s="2"/>
      <c r="K120" s="2"/>
    </row>
    <row r="121" spans="1:11" x14ac:dyDescent="0.4">
      <c r="A121" s="1" t="s">
        <v>574</v>
      </c>
      <c r="K121" s="2"/>
    </row>
    <row r="122" spans="1:11" x14ac:dyDescent="0.4">
      <c r="B122" s="1" t="s">
        <v>176</v>
      </c>
      <c r="K122" s="2"/>
    </row>
    <row r="123" spans="1:11" x14ac:dyDescent="0.4">
      <c r="B123" s="1" t="s">
        <v>571</v>
      </c>
      <c r="K123" s="2"/>
    </row>
    <row r="124" spans="1:11" x14ac:dyDescent="0.4">
      <c r="K124" s="2"/>
    </row>
    <row r="125" spans="1:11" x14ac:dyDescent="0.4">
      <c r="A125" s="1" t="s">
        <v>575</v>
      </c>
      <c r="K125" s="2"/>
    </row>
    <row r="126" spans="1:11" x14ac:dyDescent="0.4">
      <c r="A126" s="1" t="s">
        <v>175</v>
      </c>
      <c r="B126" s="6" t="s">
        <v>353</v>
      </c>
      <c r="K126" s="2"/>
    </row>
    <row r="127" spans="1:11" x14ac:dyDescent="0.4">
      <c r="B127" s="6" t="s">
        <v>354</v>
      </c>
      <c r="K127" s="2"/>
    </row>
    <row r="128" spans="1:11" x14ac:dyDescent="0.4">
      <c r="B128" s="6" t="s">
        <v>355</v>
      </c>
      <c r="K128" s="2"/>
    </row>
    <row r="129" spans="1:11" x14ac:dyDescent="0.4">
      <c r="A129" s="2"/>
      <c r="K129" s="2"/>
    </row>
    <row r="130" spans="1:11" x14ac:dyDescent="0.4">
      <c r="B130" s="1" t="s">
        <v>657</v>
      </c>
    </row>
    <row r="131" spans="1:11" x14ac:dyDescent="0.4">
      <c r="B131" s="58" t="s">
        <v>654</v>
      </c>
    </row>
    <row r="132" spans="1:11" x14ac:dyDescent="0.4">
      <c r="B132" s="58" t="s">
        <v>655</v>
      </c>
    </row>
    <row r="133" spans="1:11" x14ac:dyDescent="0.4">
      <c r="B133" s="58" t="s">
        <v>656</v>
      </c>
    </row>
    <row r="135" spans="1:11" x14ac:dyDescent="0.4">
      <c r="B135" s="2"/>
    </row>
  </sheetData>
  <sortState ref="B23:E39">
    <sortCondition ref="B23:B39"/>
  </sortState>
  <phoneticPr fontId="1"/>
  <pageMargins left="0.70866141732283472" right="0.70866141732283472" top="0.74803149606299213" bottom="0.74803149606299213" header="0.31496062992125984" footer="0.31496062992125984"/>
  <pageSetup paperSize="9" orientation="landscape" horizontalDpi="4294967293" r:id="rId1"/>
  <headerFooter>
    <oddFooter>&amp;L&amp;P／&amp;N&amp;RCopyright (C) THE TACHIBANA SECURITIES CO.,LTD. All rights reserved.</oddFooter>
  </headerFooter>
  <rowBreaks count="1" manualBreakCount="1">
    <brk id="63"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I35"/>
  <sheetViews>
    <sheetView workbookViewId="0"/>
  </sheetViews>
  <sheetFormatPr defaultRowHeight="18.75" x14ac:dyDescent="0.4"/>
  <cols>
    <col min="1" max="1" width="25" bestFit="1" customWidth="1"/>
    <col min="2" max="2" width="57.125" customWidth="1"/>
    <col min="3" max="3" width="21.25" customWidth="1"/>
    <col min="4" max="5" width="10.5" bestFit="1" customWidth="1"/>
    <col min="6" max="6" width="33.375" customWidth="1"/>
    <col min="7" max="7" width="12.75" customWidth="1"/>
    <col min="8" max="8" width="24.5" customWidth="1"/>
    <col min="9" max="9" width="36.875" customWidth="1"/>
    <col min="14" max="14" width="12.25" customWidth="1"/>
    <col min="15" max="15" width="29.375" customWidth="1"/>
    <col min="21" max="21" width="12" customWidth="1"/>
    <col min="22" max="22" width="26" customWidth="1"/>
    <col min="29" max="29" width="27.125" customWidth="1"/>
  </cols>
  <sheetData>
    <row r="1" spans="1:9" ht="18" customHeight="1" x14ac:dyDescent="0.4">
      <c r="A1" s="11" t="s">
        <v>71</v>
      </c>
      <c r="B1" s="11" t="s">
        <v>585</v>
      </c>
    </row>
    <row r="2" spans="1:9" ht="18" customHeight="1" x14ac:dyDescent="0.4">
      <c r="A2" s="11" t="s">
        <v>72</v>
      </c>
      <c r="B2" s="15" t="s">
        <v>584</v>
      </c>
      <c r="F2" s="15"/>
    </row>
    <row r="3" spans="1:9" ht="46.5" customHeight="1" x14ac:dyDescent="0.4"/>
    <row r="4" spans="1:9" ht="18" customHeight="1" x14ac:dyDescent="0.4"/>
    <row r="5" spans="1:9" ht="18" customHeight="1" x14ac:dyDescent="0.4">
      <c r="A5" t="s">
        <v>363</v>
      </c>
      <c r="B5" t="s">
        <v>35</v>
      </c>
      <c r="C5" t="s">
        <v>37</v>
      </c>
    </row>
    <row r="6" spans="1:9" x14ac:dyDescent="0.4">
      <c r="A6" s="1" t="s">
        <v>587</v>
      </c>
      <c r="B6" s="46" t="s">
        <v>583</v>
      </c>
      <c r="C6" t="s">
        <v>588</v>
      </c>
      <c r="G6" s="7"/>
      <c r="H6" s="7"/>
      <c r="I6" s="7"/>
    </row>
    <row r="7" spans="1:9" x14ac:dyDescent="0.4">
      <c r="A7" s="1" t="s">
        <v>577</v>
      </c>
      <c r="B7" s="46" t="s">
        <v>580</v>
      </c>
      <c r="D7" s="7"/>
      <c r="G7" s="7"/>
      <c r="H7" s="7"/>
      <c r="I7" s="7"/>
    </row>
    <row r="8" spans="1:9" x14ac:dyDescent="0.4">
      <c r="A8" s="1" t="s">
        <v>578</v>
      </c>
      <c r="B8" s="46" t="s">
        <v>581</v>
      </c>
      <c r="C8" t="s">
        <v>586</v>
      </c>
      <c r="I8" s="7"/>
    </row>
    <row r="9" spans="1:9" x14ac:dyDescent="0.4">
      <c r="A9" s="1" t="s">
        <v>579</v>
      </c>
      <c r="B9" s="46" t="s">
        <v>582</v>
      </c>
      <c r="H9" s="7"/>
      <c r="I9" s="7"/>
    </row>
    <row r="10" spans="1:9" x14ac:dyDescent="0.4">
      <c r="A10" s="1"/>
    </row>
    <row r="11" spans="1:9" x14ac:dyDescent="0.4">
      <c r="A11" s="1"/>
    </row>
    <row r="12" spans="1:9" x14ac:dyDescent="0.4">
      <c r="A12" s="1"/>
    </row>
    <row r="13" spans="1:9" x14ac:dyDescent="0.4">
      <c r="A13" s="1"/>
      <c r="B13" s="5"/>
    </row>
    <row r="14" spans="1:9" x14ac:dyDescent="0.4">
      <c r="A14" s="1"/>
    </row>
    <row r="16" spans="1:9" x14ac:dyDescent="0.4">
      <c r="A16" s="51"/>
      <c r="E16" s="51"/>
    </row>
    <row r="17" spans="1:5" x14ac:dyDescent="0.4">
      <c r="A17" s="51"/>
      <c r="E17" s="51"/>
    </row>
    <row r="18" spans="1:5" x14ac:dyDescent="0.4">
      <c r="E18" s="51"/>
    </row>
    <row r="19" spans="1:5" x14ac:dyDescent="0.4">
      <c r="A19" s="10"/>
      <c r="E19" s="51"/>
    </row>
    <row r="20" spans="1:5" x14ac:dyDescent="0.4">
      <c r="A20" s="53"/>
      <c r="E20" s="51"/>
    </row>
    <row r="21" spans="1:5" x14ac:dyDescent="0.4">
      <c r="A21" s="51"/>
      <c r="B21" s="49"/>
      <c r="E21" s="51"/>
    </row>
    <row r="22" spans="1:5" x14ac:dyDescent="0.4">
      <c r="A22" s="51"/>
      <c r="B22" s="49"/>
      <c r="E22" s="51"/>
    </row>
    <row r="23" spans="1:5" x14ac:dyDescent="0.4">
      <c r="A23" s="51"/>
      <c r="B23" s="49"/>
    </row>
    <row r="24" spans="1:5" x14ac:dyDescent="0.4">
      <c r="A24" s="51"/>
      <c r="B24" s="49"/>
    </row>
    <row r="25" spans="1:5" x14ac:dyDescent="0.4">
      <c r="A25" s="51"/>
      <c r="B25" s="49"/>
    </row>
    <row r="26" spans="1:5" x14ac:dyDescent="0.4">
      <c r="A26" s="51"/>
      <c r="B26" s="49"/>
    </row>
    <row r="27" spans="1:5" x14ac:dyDescent="0.4">
      <c r="A27" s="51"/>
      <c r="B27" s="49"/>
    </row>
    <row r="28" spans="1:5" x14ac:dyDescent="0.4">
      <c r="A28" s="51"/>
      <c r="B28" s="49"/>
    </row>
    <row r="29" spans="1:5" x14ac:dyDescent="0.4">
      <c r="A29" s="51"/>
      <c r="B29" s="49"/>
    </row>
    <row r="30" spans="1:5" x14ac:dyDescent="0.4">
      <c r="A30" s="51"/>
      <c r="B30" s="49"/>
    </row>
    <row r="31" spans="1:5" x14ac:dyDescent="0.4">
      <c r="A31" s="51"/>
      <c r="B31" s="49"/>
    </row>
    <row r="32" spans="1:5" x14ac:dyDescent="0.4">
      <c r="A32" s="51"/>
      <c r="B32" s="49"/>
    </row>
    <row r="33" spans="1:2" x14ac:dyDescent="0.4">
      <c r="A33" s="51"/>
      <c r="B33" s="49"/>
    </row>
    <row r="34" spans="1:2" x14ac:dyDescent="0.4">
      <c r="A34" s="51"/>
      <c r="B34" s="49"/>
    </row>
    <row r="35" spans="1:2" x14ac:dyDescent="0.4">
      <c r="A35" s="51"/>
      <c r="B35" s="49"/>
    </row>
  </sheetData>
  <sheetProtection selectLockedCells="1" selectUnlockedCells="1"/>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CreateSecureConfig">
                <anchor moveWithCells="1" sizeWithCells="1">
                  <from>
                    <xdr:col>1</xdr:col>
                    <xdr:colOff>142875</xdr:colOff>
                    <xdr:row>2</xdr:row>
                    <xdr:rowOff>123825</xdr:rowOff>
                  </from>
                  <to>
                    <xdr:col>1</xdr:col>
                    <xdr:colOff>1724025</xdr:colOff>
                    <xdr:row>2</xdr:row>
                    <xdr:rowOff>457200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35"/>
  <sheetViews>
    <sheetView workbookViewId="0"/>
  </sheetViews>
  <sheetFormatPr defaultRowHeight="18.75" x14ac:dyDescent="0.4"/>
  <cols>
    <col min="1" max="1" width="25" bestFit="1" customWidth="1"/>
    <col min="2" max="2" width="57.125" customWidth="1"/>
    <col min="3" max="3" width="21.25" customWidth="1"/>
    <col min="4" max="5" width="10.5" bestFit="1" customWidth="1"/>
    <col min="6" max="6" width="33.375" customWidth="1"/>
    <col min="7" max="7" width="12.75" customWidth="1"/>
    <col min="8" max="8" width="24.5" customWidth="1"/>
    <col min="9" max="9" width="36.875" customWidth="1"/>
    <col min="14" max="14" width="12.25" customWidth="1"/>
    <col min="15" max="15" width="29.375" customWidth="1"/>
    <col min="21" max="21" width="12" customWidth="1"/>
    <col min="22" max="22" width="26" customWidth="1"/>
    <col min="29" max="29" width="27.125" customWidth="1"/>
  </cols>
  <sheetData>
    <row r="1" spans="1:9" ht="18" customHeight="1" x14ac:dyDescent="0.4">
      <c r="A1" s="11" t="s">
        <v>71</v>
      </c>
      <c r="B1" s="11" t="s">
        <v>361</v>
      </c>
    </row>
    <row r="2" spans="1:9" ht="18" customHeight="1" x14ac:dyDescent="0.4">
      <c r="A2" s="11" t="s">
        <v>72</v>
      </c>
      <c r="B2" s="15" t="s">
        <v>362</v>
      </c>
      <c r="F2" s="15" t="s">
        <v>366</v>
      </c>
    </row>
    <row r="3" spans="1:9" ht="46.5" customHeight="1" x14ac:dyDescent="0.4"/>
    <row r="4" spans="1:9" ht="18" customHeight="1" x14ac:dyDescent="0.4"/>
    <row r="5" spans="1:9" ht="18" customHeight="1" x14ac:dyDescent="0.4">
      <c r="A5" t="s">
        <v>363</v>
      </c>
      <c r="B5" t="s">
        <v>35</v>
      </c>
      <c r="C5" t="s">
        <v>37</v>
      </c>
    </row>
    <row r="6" spans="1:9" x14ac:dyDescent="0.4">
      <c r="A6" t="s">
        <v>32</v>
      </c>
      <c r="B6" s="3" t="s">
        <v>445</v>
      </c>
      <c r="C6" t="s">
        <v>34</v>
      </c>
      <c r="G6" s="7"/>
      <c r="H6" s="7"/>
      <c r="I6" s="7"/>
    </row>
    <row r="7" spans="1:9" x14ac:dyDescent="0.4">
      <c r="A7" s="1" t="s">
        <v>33</v>
      </c>
      <c r="B7" s="46">
        <v>5</v>
      </c>
      <c r="C7" t="s">
        <v>178</v>
      </c>
      <c r="D7" s="7"/>
      <c r="G7" s="7"/>
      <c r="H7" s="7"/>
      <c r="I7" s="7"/>
    </row>
    <row r="8" spans="1:9" x14ac:dyDescent="0.4">
      <c r="A8" s="1"/>
      <c r="B8" s="5"/>
      <c r="C8" t="s">
        <v>350</v>
      </c>
      <c r="I8" s="7"/>
    </row>
    <row r="9" spans="1:9" x14ac:dyDescent="0.4">
      <c r="A9" s="1"/>
      <c r="H9" s="7"/>
      <c r="I9" s="7"/>
    </row>
    <row r="10" spans="1:9" x14ac:dyDescent="0.4">
      <c r="A10" s="1"/>
    </row>
    <row r="11" spans="1:9" x14ac:dyDescent="0.4">
      <c r="A11" s="1"/>
    </row>
    <row r="12" spans="1:9" x14ac:dyDescent="0.4">
      <c r="A12" s="1"/>
    </row>
    <row r="13" spans="1:9" x14ac:dyDescent="0.4">
      <c r="A13" s="1"/>
      <c r="B13" s="5"/>
    </row>
    <row r="14" spans="1:9" x14ac:dyDescent="0.4">
      <c r="A14" s="1"/>
    </row>
    <row r="16" spans="1:9" x14ac:dyDescent="0.4">
      <c r="A16" s="51" t="s">
        <v>375</v>
      </c>
      <c r="B16" s="47">
        <v>3</v>
      </c>
      <c r="E16" s="51"/>
      <c r="F16" t="s">
        <v>365</v>
      </c>
    </row>
    <row r="17" spans="1:6" x14ac:dyDescent="0.4">
      <c r="A17" s="51" t="s">
        <v>368</v>
      </c>
      <c r="B17" s="48" t="b">
        <v>1</v>
      </c>
      <c r="E17" s="51" t="s">
        <v>537</v>
      </c>
      <c r="F17">
        <v>2</v>
      </c>
    </row>
    <row r="18" spans="1:6" ht="409.5" x14ac:dyDescent="0.4">
      <c r="A18" t="s">
        <v>367</v>
      </c>
      <c r="B18" s="47" t="s">
        <v>635</v>
      </c>
      <c r="E18" s="51" t="s">
        <v>379</v>
      </c>
      <c r="F18" t="s">
        <v>536</v>
      </c>
    </row>
    <row r="19" spans="1:6" ht="56.25" x14ac:dyDescent="0.4">
      <c r="A19" s="10" t="s">
        <v>373</v>
      </c>
      <c r="B19" s="8">
        <v>20241103</v>
      </c>
      <c r="E19" s="51" t="s">
        <v>369</v>
      </c>
      <c r="F19" t="s">
        <v>444</v>
      </c>
    </row>
    <row r="20" spans="1:6" ht="56.25" x14ac:dyDescent="0.4">
      <c r="A20" s="53" t="s">
        <v>374</v>
      </c>
      <c r="B20" s="54">
        <v>20241103</v>
      </c>
      <c r="E20" s="51" t="s">
        <v>370</v>
      </c>
      <c r="F20">
        <v>0</v>
      </c>
    </row>
    <row r="21" spans="1:6" x14ac:dyDescent="0.4">
      <c r="A21" s="51"/>
      <c r="B21" s="49" t="s">
        <v>365</v>
      </c>
      <c r="E21" s="51" t="s">
        <v>504</v>
      </c>
    </row>
    <row r="22" spans="1:6" x14ac:dyDescent="0.4">
      <c r="A22" s="51" t="s">
        <v>636</v>
      </c>
      <c r="B22" s="49">
        <v>1</v>
      </c>
      <c r="E22" s="51" t="s">
        <v>535</v>
      </c>
      <c r="F22">
        <v>0</v>
      </c>
    </row>
    <row r="23" spans="1:6" x14ac:dyDescent="0.4">
      <c r="A23" s="51" t="s">
        <v>637</v>
      </c>
      <c r="B23" s="49" t="s">
        <v>634</v>
      </c>
      <c r="E23" t="s">
        <v>508</v>
      </c>
    </row>
    <row r="24" spans="1:6" x14ac:dyDescent="0.4">
      <c r="A24" s="51" t="s">
        <v>369</v>
      </c>
      <c r="B24" s="49" t="s">
        <v>595</v>
      </c>
    </row>
    <row r="25" spans="1:6" x14ac:dyDescent="0.4">
      <c r="A25" s="51" t="s">
        <v>370</v>
      </c>
      <c r="B25" s="49">
        <v>0</v>
      </c>
    </row>
    <row r="26" spans="1:6" x14ac:dyDescent="0.4">
      <c r="A26" s="51" t="s">
        <v>638</v>
      </c>
      <c r="B26" s="49"/>
    </row>
    <row r="27" spans="1:6" x14ac:dyDescent="0.4">
      <c r="A27" s="51" t="s">
        <v>639</v>
      </c>
      <c r="B27" s="49">
        <v>0</v>
      </c>
    </row>
    <row r="28" spans="1:6" x14ac:dyDescent="0.4">
      <c r="A28" s="51" t="s">
        <v>640</v>
      </c>
      <c r="B28" s="49"/>
    </row>
    <row r="29" spans="1:6" x14ac:dyDescent="0.4">
      <c r="A29" s="51"/>
      <c r="B29" s="49"/>
    </row>
    <row r="30" spans="1:6" x14ac:dyDescent="0.4">
      <c r="A30" s="51"/>
      <c r="B30" s="49"/>
    </row>
    <row r="31" spans="1:6" x14ac:dyDescent="0.4">
      <c r="A31" s="51"/>
      <c r="B31" s="49"/>
    </row>
    <row r="32" spans="1:6" x14ac:dyDescent="0.4">
      <c r="A32" s="51"/>
      <c r="B32" s="49"/>
    </row>
    <row r="33" spans="1:2" x14ac:dyDescent="0.4">
      <c r="A33" s="51"/>
      <c r="B33" s="49"/>
    </row>
    <row r="34" spans="1:2" x14ac:dyDescent="0.4">
      <c r="A34" s="51"/>
      <c r="B34" s="49"/>
    </row>
    <row r="35" spans="1:2" x14ac:dyDescent="0.4">
      <c r="A35" s="51"/>
      <c r="B35" s="49"/>
    </row>
  </sheetData>
  <sheetProtection selectLockedCells="1" selectUnlockedCells="1"/>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exec_CLMAuthLoginRequest">
                <anchor moveWithCells="1" sizeWithCells="1">
                  <from>
                    <xdr:col>1</xdr:col>
                    <xdr:colOff>142875</xdr:colOff>
                    <xdr:row>2</xdr:row>
                    <xdr:rowOff>123825</xdr:rowOff>
                  </from>
                  <to>
                    <xdr:col>1</xdr:col>
                    <xdr:colOff>1724025</xdr:colOff>
                    <xdr:row>2</xdr:row>
                    <xdr:rowOff>457200</xdr:rowOff>
                  </to>
                </anchor>
              </controlPr>
            </control>
          </mc:Choice>
        </mc:AlternateContent>
        <mc:AlternateContent xmlns:mc="http://schemas.openxmlformats.org/markup-compatibility/2006">
          <mc:Choice Requires="x14">
            <control shapeId="16386" r:id="rId5" name="Button 2">
              <controlPr defaultSize="0" print="0" autoFill="0" autoPict="0" macro="[0]!exec_CLMAuthLogoutRequest">
                <anchor moveWithCells="1" sizeWithCells="1">
                  <from>
                    <xdr:col>5</xdr:col>
                    <xdr:colOff>142875</xdr:colOff>
                    <xdr:row>2</xdr:row>
                    <xdr:rowOff>123825</xdr:rowOff>
                  </from>
                  <to>
                    <xdr:col>5</xdr:col>
                    <xdr:colOff>1724025</xdr:colOff>
                    <xdr:row>2</xdr:row>
                    <xdr:rowOff>457200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O23"/>
  <sheetViews>
    <sheetView workbookViewId="0"/>
  </sheetViews>
  <sheetFormatPr defaultRowHeight="18.75" x14ac:dyDescent="0.4"/>
  <cols>
    <col min="1" max="1" width="19.875" style="51" bestFit="1" customWidth="1"/>
    <col min="2" max="2" width="27.25" style="51" customWidth="1"/>
    <col min="3" max="3" width="13.875" style="51" customWidth="1"/>
    <col min="4" max="5" width="9" style="51"/>
    <col min="6" max="6" width="23.5" style="51" customWidth="1"/>
    <col min="7" max="7" width="16.875" style="51" customWidth="1"/>
    <col min="8" max="9" width="9" style="51"/>
    <col min="10" max="10" width="23.5" style="51" customWidth="1"/>
    <col min="11" max="12" width="9" style="51"/>
    <col min="13" max="13" width="15.25" style="51" customWidth="1"/>
    <col min="14" max="14" width="24.125" style="51" customWidth="1"/>
    <col min="15" max="15" width="22.875" style="51" customWidth="1"/>
    <col min="16" max="16384" width="9" style="51"/>
  </cols>
  <sheetData>
    <row r="1" spans="1:15" s="11" customFormat="1" ht="21" customHeight="1" x14ac:dyDescent="0.4">
      <c r="A1" s="11" t="s">
        <v>71</v>
      </c>
      <c r="B1" s="11" t="s">
        <v>394</v>
      </c>
      <c r="F1" s="11" t="s">
        <v>73</v>
      </c>
      <c r="J1" s="11" t="s">
        <v>395</v>
      </c>
      <c r="N1" s="11" t="s">
        <v>396</v>
      </c>
    </row>
    <row r="2" spans="1:15" s="11" customFormat="1" ht="21" customHeight="1" x14ac:dyDescent="0.4">
      <c r="A2" s="11" t="s">
        <v>72</v>
      </c>
      <c r="B2" s="15" t="s">
        <v>162</v>
      </c>
      <c r="F2" s="15" t="s">
        <v>163</v>
      </c>
      <c r="J2" s="15" t="s">
        <v>397</v>
      </c>
      <c r="N2" s="15" t="s">
        <v>398</v>
      </c>
    </row>
    <row r="3" spans="1:15" ht="48" customHeight="1" x14ac:dyDescent="0.4"/>
    <row r="6" spans="1:15" x14ac:dyDescent="0.4">
      <c r="M6" s="51" t="s">
        <v>622</v>
      </c>
      <c r="N6" s="52"/>
      <c r="O6" s="51" t="s">
        <v>621</v>
      </c>
    </row>
    <row r="7" spans="1:15" x14ac:dyDescent="0.4">
      <c r="M7" s="51" t="s">
        <v>623</v>
      </c>
      <c r="N7" s="52"/>
      <c r="O7" s="51" t="s">
        <v>624</v>
      </c>
    </row>
    <row r="16" spans="1:15" x14ac:dyDescent="0.4">
      <c r="A16"/>
      <c r="B16" t="s">
        <v>365</v>
      </c>
      <c r="F16" t="s">
        <v>365</v>
      </c>
      <c r="J16" t="s">
        <v>365</v>
      </c>
      <c r="N16" t="s">
        <v>365</v>
      </c>
    </row>
    <row r="17" spans="1:14" s="55" customFormat="1" x14ac:dyDescent="0.4">
      <c r="A17" t="s">
        <v>642</v>
      </c>
      <c r="B17" s="8">
        <v>2</v>
      </c>
      <c r="E17" s="55" t="s">
        <v>359</v>
      </c>
      <c r="F17" s="8">
        <v>3</v>
      </c>
      <c r="I17" s="55" t="s">
        <v>614</v>
      </c>
      <c r="J17" s="8">
        <v>6</v>
      </c>
      <c r="M17" s="55" t="s">
        <v>617</v>
      </c>
      <c r="N17" s="8">
        <v>7</v>
      </c>
    </row>
    <row r="18" spans="1:14" s="55" customFormat="1" x14ac:dyDescent="0.4">
      <c r="A18" t="s">
        <v>402</v>
      </c>
      <c r="B18" s="8" t="s">
        <v>641</v>
      </c>
      <c r="E18" s="55" t="s">
        <v>649</v>
      </c>
      <c r="F18" s="8" t="s">
        <v>646</v>
      </c>
      <c r="I18" s="55" t="s">
        <v>402</v>
      </c>
      <c r="J18" s="8" t="s">
        <v>613</v>
      </c>
      <c r="M18" s="55" t="s">
        <v>618</v>
      </c>
      <c r="N18" s="8" t="s">
        <v>616</v>
      </c>
    </row>
    <row r="19" spans="1:14" s="55" customFormat="1" x14ac:dyDescent="0.4">
      <c r="A19" t="s">
        <v>643</v>
      </c>
      <c r="B19" s="8" t="s">
        <v>399</v>
      </c>
      <c r="E19" s="55" t="s">
        <v>369</v>
      </c>
      <c r="F19" s="8" t="s">
        <v>399</v>
      </c>
      <c r="I19" s="55" t="s">
        <v>615</v>
      </c>
      <c r="J19" s="8" t="s">
        <v>393</v>
      </c>
      <c r="M19" s="55" t="s">
        <v>619</v>
      </c>
      <c r="N19" s="8" t="s">
        <v>74</v>
      </c>
    </row>
    <row r="20" spans="1:14" s="55" customFormat="1" x14ac:dyDescent="0.4">
      <c r="A20" t="s">
        <v>370</v>
      </c>
      <c r="B20" s="8">
        <v>0</v>
      </c>
      <c r="E20" s="55" t="s">
        <v>370</v>
      </c>
      <c r="F20" s="8">
        <v>0</v>
      </c>
      <c r="I20" s="55" t="s">
        <v>370</v>
      </c>
      <c r="J20" s="8">
        <v>0</v>
      </c>
      <c r="M20" s="55" t="s">
        <v>370</v>
      </c>
      <c r="N20" s="8">
        <v>0</v>
      </c>
    </row>
    <row r="21" spans="1:14" s="55" customFormat="1" x14ac:dyDescent="0.4">
      <c r="A21" t="s">
        <v>644</v>
      </c>
      <c r="B21" s="8"/>
      <c r="E21" s="55" t="s">
        <v>364</v>
      </c>
      <c r="F21" s="8"/>
      <c r="I21" s="55" t="s">
        <v>364</v>
      </c>
      <c r="J21" s="8"/>
      <c r="M21" s="55" t="s">
        <v>620</v>
      </c>
      <c r="N21" s="8"/>
    </row>
    <row r="22" spans="1:14" s="55" customFormat="1" x14ac:dyDescent="0.4">
      <c r="A22" t="s">
        <v>371</v>
      </c>
      <c r="B22" s="8">
        <v>0</v>
      </c>
      <c r="E22" s="55" t="s">
        <v>371</v>
      </c>
      <c r="F22" s="8">
        <v>0</v>
      </c>
      <c r="I22" s="55" t="s">
        <v>371</v>
      </c>
      <c r="J22" s="8">
        <v>0</v>
      </c>
      <c r="M22" s="55" t="s">
        <v>371</v>
      </c>
      <c r="N22" s="8">
        <v>0</v>
      </c>
    </row>
    <row r="23" spans="1:14" x14ac:dyDescent="0.4">
      <c r="A23" t="s">
        <v>645</v>
      </c>
      <c r="B23" s="8"/>
      <c r="E23" s="51" t="s">
        <v>372</v>
      </c>
      <c r="F23" s="8"/>
      <c r="I23" s="51" t="s">
        <v>372</v>
      </c>
      <c r="J23" s="8"/>
      <c r="M23" s="51" t="s">
        <v>372</v>
      </c>
      <c r="N23" s="8"/>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t_CLMZanKaiKanougaku">
                <anchor moveWithCells="1" sizeWithCells="1">
                  <from>
                    <xdr:col>1</xdr:col>
                    <xdr:colOff>142875</xdr:colOff>
                    <xdr:row>2</xdr:row>
                    <xdr:rowOff>123825</xdr:rowOff>
                  </from>
                  <to>
                    <xdr:col>1</xdr:col>
                    <xdr:colOff>1724025</xdr:colOff>
                    <xdr:row>2</xdr:row>
                    <xdr:rowOff>457200</xdr:rowOff>
                  </to>
                </anchor>
              </controlPr>
            </control>
          </mc:Choice>
        </mc:AlternateContent>
        <mc:AlternateContent xmlns:mc="http://schemas.openxmlformats.org/markup-compatibility/2006">
          <mc:Choice Requires="x14">
            <control shapeId="7170" r:id="rId5" name="Button 2">
              <controlPr defaultSize="0" print="0" autoFill="0" autoPict="0" macro="[0]!get_CLMZanShinkiKanoIjiritu">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7171" r:id="rId6" name="Button 3">
              <controlPr defaultSize="0" print="0" autoFill="0" autoPict="0" macro="[0]!get_CLMOrderList">
                <anchor moveWithCells="1" sizeWithCells="1">
                  <from>
                    <xdr:col>9</xdr:col>
                    <xdr:colOff>142875</xdr:colOff>
                    <xdr:row>2</xdr:row>
                    <xdr:rowOff>123825</xdr:rowOff>
                  </from>
                  <to>
                    <xdr:col>9</xdr:col>
                    <xdr:colOff>1724025</xdr:colOff>
                    <xdr:row>2</xdr:row>
                    <xdr:rowOff>457200</xdr:rowOff>
                  </to>
                </anchor>
              </controlPr>
            </control>
          </mc:Choice>
        </mc:AlternateContent>
        <mc:AlternateContent xmlns:mc="http://schemas.openxmlformats.org/markup-compatibility/2006">
          <mc:Choice Requires="x14">
            <control shapeId="7172" r:id="rId7" name="Button 4">
              <controlPr defaultSize="0" print="0" autoFill="0" autoPict="0" macro="[0]!get_CLMOrderListDetail">
                <anchor moveWithCells="1" sizeWithCells="1">
                  <from>
                    <xdr:col>13</xdr:col>
                    <xdr:colOff>142875</xdr:colOff>
                    <xdr:row>2</xdr:row>
                    <xdr:rowOff>123825</xdr:rowOff>
                  </from>
                  <to>
                    <xdr:col>13</xdr:col>
                    <xdr:colOff>1724025</xdr:colOff>
                    <xdr:row>2</xdr:row>
                    <xdr:rowOff>457200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K23"/>
  <sheetViews>
    <sheetView workbookViewId="0"/>
  </sheetViews>
  <sheetFormatPr defaultRowHeight="18.75" x14ac:dyDescent="0.4"/>
  <cols>
    <col min="1" max="1" width="14.875" customWidth="1"/>
    <col min="2" max="2" width="24.5" customWidth="1"/>
    <col min="3" max="3" width="51.875" customWidth="1"/>
    <col min="4" max="4" width="5.25" customWidth="1"/>
    <col min="5" max="5" width="15.625" customWidth="1"/>
    <col min="6" max="6" width="26.625" customWidth="1"/>
    <col min="7" max="7" width="26.25" customWidth="1"/>
    <col min="9" max="9" width="16.375" customWidth="1"/>
    <col min="10" max="10" width="25.75" customWidth="1"/>
    <col min="11" max="11" width="37.625" customWidth="1"/>
  </cols>
  <sheetData>
    <row r="1" spans="1:11" s="16" customFormat="1" ht="17.25" x14ac:dyDescent="0.4">
      <c r="A1" s="16" t="s">
        <v>71</v>
      </c>
      <c r="B1" s="12" t="s">
        <v>91</v>
      </c>
      <c r="F1" s="16" t="s">
        <v>89</v>
      </c>
      <c r="J1" s="16" t="s">
        <v>97</v>
      </c>
    </row>
    <row r="2" spans="1:11" x14ac:dyDescent="0.4">
      <c r="A2" s="11" t="s">
        <v>72</v>
      </c>
      <c r="B2" s="12" t="s">
        <v>92</v>
      </c>
      <c r="C2" s="12"/>
      <c r="D2" s="12"/>
      <c r="E2" s="12"/>
      <c r="F2" s="15" t="s">
        <v>161</v>
      </c>
      <c r="G2" s="11"/>
      <c r="I2" s="12"/>
      <c r="J2" s="12" t="s">
        <v>98</v>
      </c>
    </row>
    <row r="3" spans="1:11" ht="40.5" customHeight="1" x14ac:dyDescent="0.4"/>
    <row r="4" spans="1:11" x14ac:dyDescent="0.4">
      <c r="A4" s="9" t="s">
        <v>54</v>
      </c>
      <c r="I4" s="9" t="s">
        <v>54</v>
      </c>
    </row>
    <row r="5" spans="1:11" x14ac:dyDescent="0.4">
      <c r="A5" t="s">
        <v>36</v>
      </c>
      <c r="B5" t="s">
        <v>67</v>
      </c>
      <c r="C5" t="s">
        <v>37</v>
      </c>
      <c r="I5" t="s">
        <v>36</v>
      </c>
      <c r="J5" t="s">
        <v>67</v>
      </c>
    </row>
    <row r="6" spans="1:11" x14ac:dyDescent="0.4">
      <c r="A6" s="7" t="s">
        <v>47</v>
      </c>
      <c r="B6" s="3"/>
      <c r="C6" s="7" t="s">
        <v>43</v>
      </c>
      <c r="D6" s="7"/>
      <c r="I6" s="7" t="s">
        <v>47</v>
      </c>
      <c r="J6" s="3"/>
      <c r="K6" s="7" t="s">
        <v>43</v>
      </c>
    </row>
    <row r="7" spans="1:11" x14ac:dyDescent="0.4">
      <c r="A7" s="7" t="s">
        <v>48</v>
      </c>
      <c r="B7" s="3" t="s">
        <v>51</v>
      </c>
      <c r="C7" s="7" t="s">
        <v>44</v>
      </c>
      <c r="D7" s="7"/>
      <c r="I7" s="7" t="s">
        <v>48</v>
      </c>
      <c r="J7" s="3" t="s">
        <v>51</v>
      </c>
      <c r="K7" s="7" t="s">
        <v>44</v>
      </c>
    </row>
    <row r="8" spans="1:11" x14ac:dyDescent="0.4">
      <c r="A8" t="s">
        <v>49</v>
      </c>
      <c r="B8" s="4"/>
      <c r="C8" t="s">
        <v>45</v>
      </c>
      <c r="I8" t="s">
        <v>49</v>
      </c>
      <c r="J8" s="4"/>
      <c r="K8" t="s">
        <v>45</v>
      </c>
    </row>
    <row r="9" spans="1:11" x14ac:dyDescent="0.4">
      <c r="A9" t="s">
        <v>50</v>
      </c>
      <c r="B9" s="4"/>
      <c r="C9" t="s">
        <v>46</v>
      </c>
      <c r="I9" t="s">
        <v>50</v>
      </c>
      <c r="J9" s="4"/>
      <c r="K9" t="s">
        <v>46</v>
      </c>
    </row>
    <row r="10" spans="1:11" x14ac:dyDescent="0.4">
      <c r="A10" t="s">
        <v>68</v>
      </c>
      <c r="B10" s="4"/>
      <c r="I10" t="s">
        <v>68</v>
      </c>
      <c r="J10" s="4"/>
    </row>
    <row r="16" spans="1:11" x14ac:dyDescent="0.4">
      <c r="B16" t="s">
        <v>365</v>
      </c>
      <c r="F16" t="s">
        <v>365</v>
      </c>
      <c r="J16" t="s">
        <v>365</v>
      </c>
    </row>
    <row r="17" spans="1:10" x14ac:dyDescent="0.4">
      <c r="A17" t="s">
        <v>607</v>
      </c>
      <c r="B17" s="8">
        <v>3</v>
      </c>
      <c r="E17" t="s">
        <v>359</v>
      </c>
      <c r="F17" s="8">
        <v>13</v>
      </c>
      <c r="I17" t="s">
        <v>376</v>
      </c>
      <c r="J17" s="8">
        <v>9</v>
      </c>
    </row>
    <row r="18" spans="1:10" x14ac:dyDescent="0.4">
      <c r="A18" t="s">
        <v>402</v>
      </c>
      <c r="B18" s="8" t="s">
        <v>606</v>
      </c>
      <c r="C18" t="s">
        <v>53</v>
      </c>
      <c r="E18" t="s">
        <v>379</v>
      </c>
      <c r="F18" s="13" t="s">
        <v>420</v>
      </c>
      <c r="I18" t="s">
        <v>369</v>
      </c>
      <c r="J18" s="8" t="s">
        <v>70</v>
      </c>
    </row>
    <row r="19" spans="1:10" x14ac:dyDescent="0.4">
      <c r="A19" t="s">
        <v>369</v>
      </c>
      <c r="B19" s="8" t="s">
        <v>70</v>
      </c>
      <c r="E19" t="s">
        <v>369</v>
      </c>
      <c r="F19" s="14" t="s">
        <v>90</v>
      </c>
      <c r="I19" t="s">
        <v>378</v>
      </c>
      <c r="J19" s="8">
        <v>0</v>
      </c>
    </row>
    <row r="20" spans="1:10" x14ac:dyDescent="0.4">
      <c r="A20" t="s">
        <v>370</v>
      </c>
      <c r="B20" s="8">
        <v>0</v>
      </c>
      <c r="E20" t="s">
        <v>370</v>
      </c>
      <c r="F20" s="14">
        <v>0</v>
      </c>
      <c r="I20" t="s">
        <v>364</v>
      </c>
      <c r="J20" s="8"/>
    </row>
    <row r="21" spans="1:10" x14ac:dyDescent="0.4">
      <c r="A21" t="s">
        <v>608</v>
      </c>
      <c r="B21" s="8"/>
      <c r="E21" t="s">
        <v>364</v>
      </c>
      <c r="F21" s="8"/>
      <c r="I21" t="s">
        <v>371</v>
      </c>
      <c r="J21" s="8">
        <v>0</v>
      </c>
    </row>
    <row r="22" spans="1:10" x14ac:dyDescent="0.4">
      <c r="A22" t="s">
        <v>609</v>
      </c>
      <c r="B22" s="8">
        <v>0</v>
      </c>
      <c r="E22" t="s">
        <v>371</v>
      </c>
      <c r="F22" s="8">
        <v>0</v>
      </c>
      <c r="I22" t="s">
        <v>377</v>
      </c>
      <c r="J22" s="8"/>
    </row>
    <row r="23" spans="1:10" x14ac:dyDescent="0.4">
      <c r="A23" t="s">
        <v>372</v>
      </c>
      <c r="E23" t="s">
        <v>372</v>
      </c>
    </row>
  </sheetData>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order_gen_buy_CLMKabuNewOrder">
                <anchor moveWithCells="1" sizeWithCells="1">
                  <from>
                    <xdr:col>1</xdr:col>
                    <xdr:colOff>161925</xdr:colOff>
                    <xdr:row>2</xdr:row>
                    <xdr:rowOff>133350</xdr:rowOff>
                  </from>
                  <to>
                    <xdr:col>1</xdr:col>
                    <xdr:colOff>1743075</xdr:colOff>
                    <xdr:row>2</xdr:row>
                    <xdr:rowOff>438150</xdr:rowOff>
                  </to>
                </anchor>
              </controlPr>
            </control>
          </mc:Choice>
        </mc:AlternateContent>
        <mc:AlternateContent xmlns:mc="http://schemas.openxmlformats.org/markup-compatibility/2006">
          <mc:Choice Requires="x14">
            <control shapeId="8197" r:id="rId5" name="Button 5">
              <controlPr defaultSize="0" print="0" autoFill="0" autoPict="0" macro="[0]!get_CLMGenbutuKabuList">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8198" r:id="rId6" name="Button 6">
              <controlPr defaultSize="0" print="0" autoFill="0" autoPict="0" macro="[0]!order_gen_sell_CLMKabuNewOrder">
                <anchor moveWithCells="1" sizeWithCells="1">
                  <from>
                    <xdr:col>9</xdr:col>
                    <xdr:colOff>161925</xdr:colOff>
                    <xdr:row>2</xdr:row>
                    <xdr:rowOff>133350</xdr:rowOff>
                  </from>
                  <to>
                    <xdr:col>9</xdr:col>
                    <xdr:colOff>1743075</xdr:colOff>
                    <xdr:row>2</xdr:row>
                    <xdr:rowOff>438150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4"/>
  <sheetViews>
    <sheetView workbookViewId="0"/>
  </sheetViews>
  <sheetFormatPr defaultRowHeight="18.75" x14ac:dyDescent="0.4"/>
  <cols>
    <col min="1" max="1" width="24.5" customWidth="1"/>
    <col min="2" max="2" width="30.875" customWidth="1"/>
    <col min="3" max="3" width="36.875" customWidth="1"/>
    <col min="5" max="5" width="24.75" customWidth="1"/>
    <col min="6" max="6" width="22.875" customWidth="1"/>
    <col min="7" max="7" width="37" customWidth="1"/>
    <col min="9" max="9" width="22.875" customWidth="1"/>
    <col min="10" max="10" width="24.75" customWidth="1"/>
    <col min="11" max="11" width="23.125" customWidth="1"/>
    <col min="13" max="13" width="24.25" customWidth="1"/>
    <col min="14" max="14" width="25.125" customWidth="1"/>
    <col min="15" max="15" width="38" customWidth="1"/>
    <col min="17" max="17" width="23.625" customWidth="1"/>
    <col min="18" max="18" width="30.75" customWidth="1"/>
    <col min="19" max="19" width="31.25" customWidth="1"/>
    <col min="21" max="21" width="24.5" customWidth="1"/>
    <col min="22" max="22" width="23.75" customWidth="1"/>
    <col min="23" max="23" width="15.875" customWidth="1"/>
    <col min="24" max="24" width="17.5" customWidth="1"/>
    <col min="25" max="25" width="14.125" customWidth="1"/>
    <col min="27" max="27" width="23.625" customWidth="1"/>
    <col min="28" max="28" width="23.75" customWidth="1"/>
    <col min="29" max="29" width="16" customWidth="1"/>
  </cols>
  <sheetData>
    <row r="1" spans="1:30" s="16" customFormat="1" ht="18" customHeight="1" x14ac:dyDescent="0.4">
      <c r="A1" s="16" t="s">
        <v>71</v>
      </c>
      <c r="B1" s="16" t="s">
        <v>102</v>
      </c>
      <c r="F1" s="16" t="s">
        <v>109</v>
      </c>
      <c r="J1" s="16" t="s">
        <v>115</v>
      </c>
      <c r="N1" s="16" t="s">
        <v>111</v>
      </c>
      <c r="R1" s="16" t="s">
        <v>113</v>
      </c>
      <c r="V1" s="16" t="s">
        <v>169</v>
      </c>
      <c r="AB1" s="16" t="s">
        <v>170</v>
      </c>
    </row>
    <row r="2" spans="1:30" s="16" customFormat="1" ht="46.5" customHeight="1" x14ac:dyDescent="0.4">
      <c r="A2" s="16" t="s">
        <v>72</v>
      </c>
      <c r="B2" s="12" t="s">
        <v>103</v>
      </c>
      <c r="F2" s="12" t="s">
        <v>110</v>
      </c>
      <c r="I2" s="11"/>
      <c r="J2" s="15" t="s">
        <v>116</v>
      </c>
      <c r="K2" s="11"/>
      <c r="N2" s="12" t="s">
        <v>112</v>
      </c>
      <c r="R2" s="12" t="s">
        <v>114</v>
      </c>
      <c r="V2" s="12" t="s">
        <v>168</v>
      </c>
      <c r="AB2" s="12" t="s">
        <v>150</v>
      </c>
    </row>
    <row r="3" spans="1:30" ht="51.75" customHeight="1" x14ac:dyDescent="0.4"/>
    <row r="4" spans="1:30" x14ac:dyDescent="0.4">
      <c r="A4" s="9" t="s">
        <v>54</v>
      </c>
      <c r="E4" s="9" t="s">
        <v>54</v>
      </c>
      <c r="M4" s="9" t="s">
        <v>54</v>
      </c>
      <c r="Q4" s="9" t="s">
        <v>54</v>
      </c>
      <c r="U4" s="9" t="s">
        <v>54</v>
      </c>
      <c r="AA4" s="9" t="s">
        <v>54</v>
      </c>
    </row>
    <row r="5" spans="1:30" x14ac:dyDescent="0.4">
      <c r="A5" t="s">
        <v>36</v>
      </c>
      <c r="B5" t="s">
        <v>35</v>
      </c>
      <c r="C5" t="s">
        <v>37</v>
      </c>
      <c r="E5" t="s">
        <v>36</v>
      </c>
      <c r="F5" t="s">
        <v>35</v>
      </c>
      <c r="G5" t="s">
        <v>37</v>
      </c>
      <c r="I5" t="s">
        <v>36</v>
      </c>
      <c r="J5" t="s">
        <v>35</v>
      </c>
      <c r="K5" t="s">
        <v>37</v>
      </c>
      <c r="M5" t="s">
        <v>36</v>
      </c>
      <c r="N5" t="s">
        <v>35</v>
      </c>
      <c r="O5" t="s">
        <v>37</v>
      </c>
      <c r="Q5" t="s">
        <v>36</v>
      </c>
      <c r="R5" t="s">
        <v>35</v>
      </c>
      <c r="S5" t="s">
        <v>37</v>
      </c>
      <c r="U5" t="s">
        <v>36</v>
      </c>
      <c r="V5" t="s">
        <v>35</v>
      </c>
      <c r="W5" t="s">
        <v>37</v>
      </c>
      <c r="AA5" t="s">
        <v>36</v>
      </c>
      <c r="AB5" t="s">
        <v>35</v>
      </c>
      <c r="AC5" t="s">
        <v>37</v>
      </c>
    </row>
    <row r="6" spans="1:30" x14ac:dyDescent="0.4">
      <c r="A6" s="7" t="s">
        <v>104</v>
      </c>
      <c r="B6" s="3"/>
      <c r="C6" s="7" t="s">
        <v>60</v>
      </c>
      <c r="E6" s="7" t="s">
        <v>104</v>
      </c>
      <c r="F6" s="3"/>
      <c r="G6" s="7" t="s">
        <v>43</v>
      </c>
      <c r="I6" s="7" t="s">
        <v>104</v>
      </c>
      <c r="J6" s="3"/>
      <c r="K6" s="7" t="s">
        <v>118</v>
      </c>
      <c r="M6" s="7" t="s">
        <v>104</v>
      </c>
      <c r="N6" s="3"/>
      <c r="O6" s="7" t="s">
        <v>43</v>
      </c>
      <c r="Q6" s="7" t="s">
        <v>104</v>
      </c>
      <c r="R6" s="3"/>
      <c r="S6" s="7" t="s">
        <v>43</v>
      </c>
      <c r="U6" s="7" t="s">
        <v>104</v>
      </c>
      <c r="V6" s="3"/>
      <c r="W6" s="7" t="s">
        <v>43</v>
      </c>
      <c r="AA6" s="7" t="s">
        <v>104</v>
      </c>
      <c r="AB6" s="3"/>
      <c r="AC6" s="7" t="s">
        <v>43</v>
      </c>
    </row>
    <row r="7" spans="1:30" x14ac:dyDescent="0.4">
      <c r="A7" s="7" t="s">
        <v>105</v>
      </c>
      <c r="B7" s="3" t="s">
        <v>61</v>
      </c>
      <c r="C7" s="7" t="s">
        <v>62</v>
      </c>
      <c r="E7" s="7" t="s">
        <v>105</v>
      </c>
      <c r="F7" s="3" t="s">
        <v>51</v>
      </c>
      <c r="G7" s="7" t="s">
        <v>44</v>
      </c>
      <c r="I7" t="s">
        <v>88</v>
      </c>
      <c r="K7" t="s">
        <v>117</v>
      </c>
      <c r="M7" s="7" t="s">
        <v>105</v>
      </c>
      <c r="N7" s="3" t="s">
        <v>51</v>
      </c>
      <c r="O7" s="7" t="s">
        <v>44</v>
      </c>
      <c r="Q7" s="7" t="s">
        <v>105</v>
      </c>
      <c r="R7" s="3" t="s">
        <v>51</v>
      </c>
      <c r="S7" s="7" t="s">
        <v>44</v>
      </c>
      <c r="U7" s="7" t="s">
        <v>105</v>
      </c>
      <c r="V7" s="3" t="s">
        <v>335</v>
      </c>
      <c r="W7" s="7" t="s">
        <v>44</v>
      </c>
      <c r="AA7" s="7" t="s">
        <v>105</v>
      </c>
      <c r="AB7" s="3" t="s">
        <v>51</v>
      </c>
      <c r="AC7" s="7" t="s">
        <v>44</v>
      </c>
    </row>
    <row r="8" spans="1:30" x14ac:dyDescent="0.4">
      <c r="A8" t="s">
        <v>106</v>
      </c>
      <c r="B8" s="4"/>
      <c r="C8" t="s">
        <v>63</v>
      </c>
      <c r="E8" t="s">
        <v>106</v>
      </c>
      <c r="F8" s="4">
        <v>0</v>
      </c>
      <c r="G8" t="s">
        <v>45</v>
      </c>
      <c r="I8" t="s">
        <v>88</v>
      </c>
      <c r="M8" t="s">
        <v>106</v>
      </c>
      <c r="N8" s="4">
        <v>0</v>
      </c>
      <c r="O8" t="s">
        <v>45</v>
      </c>
      <c r="Q8" t="s">
        <v>106</v>
      </c>
      <c r="R8" s="4"/>
      <c r="S8" t="s">
        <v>45</v>
      </c>
      <c r="U8" t="s">
        <v>106</v>
      </c>
      <c r="V8" s="3"/>
      <c r="W8" t="s">
        <v>45</v>
      </c>
      <c r="AA8" t="s">
        <v>106</v>
      </c>
      <c r="AB8" s="3"/>
      <c r="AC8" t="s">
        <v>45</v>
      </c>
    </row>
    <row r="9" spans="1:30" x14ac:dyDescent="0.4">
      <c r="A9" t="s">
        <v>107</v>
      </c>
      <c r="B9" s="4"/>
      <c r="C9" t="s">
        <v>64</v>
      </c>
      <c r="E9" t="s">
        <v>107</v>
      </c>
      <c r="F9" s="4"/>
      <c r="G9" t="s">
        <v>46</v>
      </c>
      <c r="I9" t="s">
        <v>88</v>
      </c>
      <c r="M9" t="s">
        <v>107</v>
      </c>
      <c r="N9" s="4"/>
      <c r="O9" t="s">
        <v>46</v>
      </c>
      <c r="Q9" t="s">
        <v>107</v>
      </c>
      <c r="R9" s="4"/>
      <c r="S9" t="s">
        <v>46</v>
      </c>
      <c r="U9" t="s">
        <v>107</v>
      </c>
      <c r="V9" s="3"/>
      <c r="W9" t="s">
        <v>46</v>
      </c>
      <c r="AA9" t="s">
        <v>107</v>
      </c>
      <c r="AB9" s="3"/>
      <c r="AC9" t="s">
        <v>46</v>
      </c>
    </row>
    <row r="10" spans="1:30" x14ac:dyDescent="0.4">
      <c r="A10" t="s">
        <v>108</v>
      </c>
      <c r="B10" s="4"/>
      <c r="E10" t="s">
        <v>108</v>
      </c>
      <c r="F10" s="4"/>
      <c r="I10" t="s">
        <v>88</v>
      </c>
      <c r="M10" t="s">
        <v>108</v>
      </c>
      <c r="N10" s="4"/>
      <c r="Q10" t="s">
        <v>108</v>
      </c>
      <c r="R10" s="4"/>
      <c r="U10" t="s">
        <v>108</v>
      </c>
      <c r="V10" s="3"/>
      <c r="AA10" t="s">
        <v>108</v>
      </c>
      <c r="AB10" s="3"/>
    </row>
    <row r="11" spans="1:30" x14ac:dyDescent="0.4">
      <c r="B11" t="s">
        <v>120</v>
      </c>
      <c r="F11" t="s">
        <v>120</v>
      </c>
      <c r="I11" t="s">
        <v>88</v>
      </c>
      <c r="N11" t="s">
        <v>120</v>
      </c>
      <c r="R11" t="s">
        <v>120</v>
      </c>
    </row>
    <row r="12" spans="1:30" x14ac:dyDescent="0.4">
      <c r="N12" t="s">
        <v>119</v>
      </c>
      <c r="R12" t="s">
        <v>119</v>
      </c>
    </row>
    <row r="13" spans="1:30" s="12" customFormat="1" x14ac:dyDescent="0.4">
      <c r="I13"/>
      <c r="J13"/>
      <c r="K13"/>
      <c r="U13" t="s">
        <v>129</v>
      </c>
      <c r="V13" t="s">
        <v>121</v>
      </c>
      <c r="W13" t="s">
        <v>122</v>
      </c>
      <c r="X13" t="s">
        <v>123</v>
      </c>
      <c r="AA13" t="s">
        <v>129</v>
      </c>
      <c r="AB13" t="s">
        <v>121</v>
      </c>
      <c r="AC13" t="s">
        <v>122</v>
      </c>
      <c r="AD13" t="s">
        <v>123</v>
      </c>
    </row>
    <row r="14" spans="1:30" ht="37.5" x14ac:dyDescent="0.4">
      <c r="A14" t="s">
        <v>52</v>
      </c>
      <c r="E14" t="s">
        <v>52</v>
      </c>
      <c r="I14" t="s">
        <v>58</v>
      </c>
      <c r="M14" t="s">
        <v>52</v>
      </c>
      <c r="Q14" t="s">
        <v>52</v>
      </c>
      <c r="V14" s="10" t="s">
        <v>124</v>
      </c>
      <c r="W14" t="s">
        <v>125</v>
      </c>
      <c r="X14" t="s">
        <v>126</v>
      </c>
      <c r="AB14" s="10" t="s">
        <v>124</v>
      </c>
      <c r="AC14" t="s">
        <v>125</v>
      </c>
      <c r="AD14" t="s">
        <v>126</v>
      </c>
    </row>
    <row r="15" spans="1:30" x14ac:dyDescent="0.4">
      <c r="U15" s="12"/>
      <c r="V15" s="17">
        <v>202512060000029</v>
      </c>
      <c r="W15" s="18">
        <v>1</v>
      </c>
      <c r="X15" s="18">
        <v>100</v>
      </c>
      <c r="AA15" s="12"/>
      <c r="AB15" s="17">
        <v>202512130000001</v>
      </c>
      <c r="AC15" s="18">
        <v>3</v>
      </c>
      <c r="AD15" s="18">
        <v>100</v>
      </c>
    </row>
    <row r="16" spans="1:30" x14ac:dyDescent="0.4">
      <c r="B16" t="s">
        <v>365</v>
      </c>
      <c r="F16" t="s">
        <v>365</v>
      </c>
      <c r="J16" t="s">
        <v>365</v>
      </c>
      <c r="N16" t="s">
        <v>365</v>
      </c>
      <c r="R16" t="s">
        <v>365</v>
      </c>
      <c r="V16" s="17">
        <v>202512060000024</v>
      </c>
      <c r="W16" s="18">
        <v>2</v>
      </c>
      <c r="X16" s="18">
        <v>100</v>
      </c>
      <c r="AB16" s="17">
        <v>202512130000007</v>
      </c>
      <c r="AC16" s="18">
        <v>2</v>
      </c>
      <c r="AD16" s="18">
        <v>100</v>
      </c>
    </row>
    <row r="17" spans="1:30" x14ac:dyDescent="0.4">
      <c r="A17" t="s">
        <v>359</v>
      </c>
      <c r="B17" s="8">
        <v>2</v>
      </c>
      <c r="E17" t="s">
        <v>423</v>
      </c>
      <c r="F17" s="8">
        <v>30</v>
      </c>
      <c r="H17" s="7"/>
      <c r="I17" t="s">
        <v>453</v>
      </c>
      <c r="J17" s="8">
        <v>63</v>
      </c>
      <c r="L17" s="7"/>
      <c r="M17" t="s">
        <v>359</v>
      </c>
      <c r="N17" s="8">
        <v>33</v>
      </c>
      <c r="Q17" t="s">
        <v>426</v>
      </c>
      <c r="R17" s="8">
        <v>25</v>
      </c>
      <c r="V17" s="17"/>
      <c r="W17" s="18"/>
      <c r="X17" s="18"/>
      <c r="AB17" s="17">
        <v>202512130000005</v>
      </c>
      <c r="AC17" s="18">
        <v>1</v>
      </c>
      <c r="AD17" s="18">
        <v>100</v>
      </c>
    </row>
    <row r="18" spans="1:30" x14ac:dyDescent="0.4">
      <c r="A18" t="s">
        <v>402</v>
      </c>
      <c r="B18" s="8" t="s">
        <v>601</v>
      </c>
      <c r="E18" t="s">
        <v>379</v>
      </c>
      <c r="F18" s="8" t="s">
        <v>434</v>
      </c>
      <c r="H18" s="7"/>
      <c r="I18" t="s">
        <v>454</v>
      </c>
      <c r="J18" s="13" t="s">
        <v>452</v>
      </c>
      <c r="L18" s="7"/>
      <c r="M18" t="s">
        <v>438</v>
      </c>
      <c r="N18" s="8" t="s">
        <v>437</v>
      </c>
      <c r="Q18" t="s">
        <v>427</v>
      </c>
      <c r="R18" s="8" t="s">
        <v>424</v>
      </c>
      <c r="V18" s="17"/>
      <c r="W18" s="18"/>
      <c r="X18" s="18"/>
      <c r="AB18" s="17"/>
      <c r="AC18" s="18"/>
      <c r="AD18" s="18"/>
    </row>
    <row r="19" spans="1:30" x14ac:dyDescent="0.4">
      <c r="A19" t="s">
        <v>369</v>
      </c>
      <c r="B19" s="8" t="s">
        <v>70</v>
      </c>
      <c r="E19" t="s">
        <v>369</v>
      </c>
      <c r="F19" s="8" t="s">
        <v>70</v>
      </c>
      <c r="I19" t="s">
        <v>369</v>
      </c>
      <c r="J19" s="14" t="s">
        <v>127</v>
      </c>
      <c r="M19" t="s">
        <v>439</v>
      </c>
      <c r="N19" s="8" t="s">
        <v>70</v>
      </c>
      <c r="Q19" t="s">
        <v>428</v>
      </c>
      <c r="R19" s="8" t="s">
        <v>70</v>
      </c>
      <c r="V19" s="17"/>
      <c r="W19" s="18"/>
      <c r="X19" s="18"/>
      <c r="AB19" s="17"/>
      <c r="AC19" s="18"/>
      <c r="AD19" s="18"/>
    </row>
    <row r="20" spans="1:30" ht="33" x14ac:dyDescent="0.4">
      <c r="A20" t="s">
        <v>370</v>
      </c>
      <c r="B20" s="8">
        <v>0</v>
      </c>
      <c r="E20" t="s">
        <v>370</v>
      </c>
      <c r="F20" s="8">
        <v>0</v>
      </c>
      <c r="I20" t="s">
        <v>370</v>
      </c>
      <c r="J20" s="14">
        <v>0</v>
      </c>
      <c r="M20" t="s">
        <v>370</v>
      </c>
      <c r="N20" s="8">
        <v>0</v>
      </c>
      <c r="Q20" t="s">
        <v>370</v>
      </c>
      <c r="R20" s="8">
        <v>0</v>
      </c>
      <c r="V20" s="19"/>
      <c r="W20" s="20" t="s">
        <v>171</v>
      </c>
      <c r="X20" s="20"/>
      <c r="AB20" s="19" t="s">
        <v>128</v>
      </c>
      <c r="AC20" s="20" t="s">
        <v>171</v>
      </c>
      <c r="AD20" s="20"/>
    </row>
    <row r="21" spans="1:30" x14ac:dyDescent="0.4">
      <c r="A21" t="s">
        <v>364</v>
      </c>
      <c r="B21" s="8"/>
      <c r="E21" t="s">
        <v>435</v>
      </c>
      <c r="F21" s="8"/>
      <c r="I21" t="s">
        <v>364</v>
      </c>
      <c r="J21" s="8"/>
      <c r="M21" t="s">
        <v>364</v>
      </c>
      <c r="N21" s="8"/>
      <c r="Q21" t="s">
        <v>429</v>
      </c>
      <c r="R21" s="8"/>
    </row>
    <row r="22" spans="1:30" x14ac:dyDescent="0.4">
      <c r="A22" t="s">
        <v>371</v>
      </c>
      <c r="B22" s="8">
        <v>0</v>
      </c>
      <c r="E22" t="s">
        <v>436</v>
      </c>
      <c r="F22" s="8">
        <v>0</v>
      </c>
      <c r="I22" t="s">
        <v>371</v>
      </c>
      <c r="J22" s="8">
        <v>0</v>
      </c>
      <c r="M22" t="s">
        <v>436</v>
      </c>
      <c r="N22" s="8">
        <v>0</v>
      </c>
      <c r="Q22" t="s">
        <v>371</v>
      </c>
      <c r="R22" s="8">
        <v>11491</v>
      </c>
    </row>
    <row r="23" spans="1:30" x14ac:dyDescent="0.4">
      <c r="A23" t="s">
        <v>372</v>
      </c>
      <c r="B23" s="8"/>
      <c r="E23" t="s">
        <v>372</v>
      </c>
      <c r="F23" s="8"/>
      <c r="I23" t="s">
        <v>372</v>
      </c>
      <c r="J23" s="8"/>
      <c r="M23" t="s">
        <v>372</v>
      </c>
      <c r="N23" s="8"/>
      <c r="Q23" t="s">
        <v>38</v>
      </c>
      <c r="R23" s="8" t="s">
        <v>425</v>
      </c>
    </row>
    <row r="26" spans="1:30" x14ac:dyDescent="0.4">
      <c r="V26" t="s">
        <v>365</v>
      </c>
      <c r="AB26" t="s">
        <v>365</v>
      </c>
    </row>
    <row r="27" spans="1:30" x14ac:dyDescent="0.4">
      <c r="U27" t="s">
        <v>385</v>
      </c>
      <c r="V27" s="8">
        <v>3</v>
      </c>
      <c r="AA27" t="s">
        <v>401</v>
      </c>
      <c r="AB27" s="8">
        <v>17</v>
      </c>
    </row>
    <row r="28" spans="1:30" x14ac:dyDescent="0.4">
      <c r="U28" t="s">
        <v>379</v>
      </c>
      <c r="V28" s="8" t="s">
        <v>392</v>
      </c>
      <c r="AA28" t="s">
        <v>402</v>
      </c>
      <c r="AB28" s="8" t="s">
        <v>400</v>
      </c>
    </row>
    <row r="29" spans="1:30" x14ac:dyDescent="0.4">
      <c r="U29" t="s">
        <v>386</v>
      </c>
      <c r="V29" s="8" t="s">
        <v>70</v>
      </c>
      <c r="AA29" t="s">
        <v>369</v>
      </c>
      <c r="AB29" s="8" t="s">
        <v>70</v>
      </c>
    </row>
    <row r="30" spans="1:30" x14ac:dyDescent="0.4">
      <c r="U30" t="s">
        <v>389</v>
      </c>
      <c r="V30" s="8">
        <v>0</v>
      </c>
      <c r="AA30" t="s">
        <v>403</v>
      </c>
      <c r="AB30" s="8">
        <v>0</v>
      </c>
    </row>
    <row r="31" spans="1:30" x14ac:dyDescent="0.4">
      <c r="U31" t="s">
        <v>390</v>
      </c>
      <c r="V31" s="8"/>
      <c r="AA31" t="s">
        <v>364</v>
      </c>
      <c r="AB31" s="8"/>
    </row>
    <row r="32" spans="1:30" x14ac:dyDescent="0.4">
      <c r="U32" t="s">
        <v>387</v>
      </c>
      <c r="V32" s="8">
        <v>0</v>
      </c>
      <c r="AA32" t="s">
        <v>371</v>
      </c>
      <c r="AB32">
        <v>0</v>
      </c>
    </row>
    <row r="33" spans="21:27" x14ac:dyDescent="0.4">
      <c r="U33" t="s">
        <v>391</v>
      </c>
      <c r="V33" s="8"/>
      <c r="AA33" t="s">
        <v>372</v>
      </c>
    </row>
    <row r="34" spans="21:27" x14ac:dyDescent="0.4">
      <c r="U34" t="s">
        <v>388</v>
      </c>
      <c r="V34" s="8"/>
    </row>
  </sheetData>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order_shinki_buy">
                <anchor moveWithCells="1" sizeWithCells="1">
                  <from>
                    <xdr:col>1</xdr:col>
                    <xdr:colOff>161925</xdr:colOff>
                    <xdr:row>2</xdr:row>
                    <xdr:rowOff>133350</xdr:rowOff>
                  </from>
                  <to>
                    <xdr:col>1</xdr:col>
                    <xdr:colOff>2152650</xdr:colOff>
                    <xdr:row>2</xdr:row>
                    <xdr:rowOff>438150</xdr:rowOff>
                  </to>
                </anchor>
              </controlPr>
            </control>
          </mc:Choice>
        </mc:AlternateContent>
        <mc:AlternateContent xmlns:mc="http://schemas.openxmlformats.org/markup-compatibility/2006">
          <mc:Choice Requires="x14">
            <control shapeId="3077" r:id="rId5" name="Button 5">
              <controlPr defaultSize="0" print="0" autoFill="0" autoPict="0" macro="[0]!order_shinki_sell">
                <anchor moveWithCells="1" sizeWithCells="1">
                  <from>
                    <xdr:col>5</xdr:col>
                    <xdr:colOff>161925</xdr:colOff>
                    <xdr:row>2</xdr:row>
                    <xdr:rowOff>133350</xdr:rowOff>
                  </from>
                  <to>
                    <xdr:col>5</xdr:col>
                    <xdr:colOff>2152650</xdr:colOff>
                    <xdr:row>2</xdr:row>
                    <xdr:rowOff>438150</xdr:rowOff>
                  </to>
                </anchor>
              </controlPr>
            </control>
          </mc:Choice>
        </mc:AlternateContent>
        <mc:AlternateContent xmlns:mc="http://schemas.openxmlformats.org/markup-compatibility/2006">
          <mc:Choice Requires="x14">
            <control shapeId="3078" r:id="rId6" name="Button 6">
              <controlPr defaultSize="0" print="0" autoFill="0" autoPict="0" macro="[0]!order_hensai_buy">
                <anchor moveWithCells="1" sizeWithCells="1">
                  <from>
                    <xdr:col>13</xdr:col>
                    <xdr:colOff>161925</xdr:colOff>
                    <xdr:row>2</xdr:row>
                    <xdr:rowOff>133350</xdr:rowOff>
                  </from>
                  <to>
                    <xdr:col>13</xdr:col>
                    <xdr:colOff>2152650</xdr:colOff>
                    <xdr:row>2</xdr:row>
                    <xdr:rowOff>438150</xdr:rowOff>
                  </to>
                </anchor>
              </controlPr>
            </control>
          </mc:Choice>
        </mc:AlternateContent>
        <mc:AlternateContent xmlns:mc="http://schemas.openxmlformats.org/markup-compatibility/2006">
          <mc:Choice Requires="x14">
            <control shapeId="3079" r:id="rId7" name="Button 7">
              <controlPr defaultSize="0" print="0" autoFill="0" autoPict="0" macro="[0]!order_hensai_sell">
                <anchor moveWithCells="1" sizeWithCells="1">
                  <from>
                    <xdr:col>17</xdr:col>
                    <xdr:colOff>161925</xdr:colOff>
                    <xdr:row>2</xdr:row>
                    <xdr:rowOff>133350</xdr:rowOff>
                  </from>
                  <to>
                    <xdr:col>17</xdr:col>
                    <xdr:colOff>2152650</xdr:colOff>
                    <xdr:row>2</xdr:row>
                    <xdr:rowOff>438150</xdr:rowOff>
                  </to>
                </anchor>
              </controlPr>
            </control>
          </mc:Choice>
        </mc:AlternateContent>
        <mc:AlternateContent xmlns:mc="http://schemas.openxmlformats.org/markup-compatibility/2006">
          <mc:Choice Requires="x14">
            <control shapeId="3080" r:id="rId8" name="Button 8">
              <controlPr defaultSize="0" print="0" autoFill="0" autoPict="0" macro="[0]!get_CLMShinyouTategyokuList">
                <anchor moveWithCells="1" sizeWithCells="1">
                  <from>
                    <xdr:col>9</xdr:col>
                    <xdr:colOff>142875</xdr:colOff>
                    <xdr:row>2</xdr:row>
                    <xdr:rowOff>123825</xdr:rowOff>
                  </from>
                  <to>
                    <xdr:col>9</xdr:col>
                    <xdr:colOff>1724025</xdr:colOff>
                    <xdr:row>2</xdr:row>
                    <xdr:rowOff>457200</xdr:rowOff>
                  </to>
                </anchor>
              </controlPr>
            </control>
          </mc:Choice>
        </mc:AlternateContent>
        <mc:AlternateContent xmlns:mc="http://schemas.openxmlformats.org/markup-compatibility/2006">
          <mc:Choice Requires="x14">
            <control shapeId="3081" r:id="rId9" name="Button 9">
              <controlPr defaultSize="0" print="0" autoFill="0" autoPict="0" macro="[0]!order_hensai_sell_aCLMKabuHensaiData">
                <anchor moveWithCells="1" sizeWithCells="1">
                  <from>
                    <xdr:col>27</xdr:col>
                    <xdr:colOff>161925</xdr:colOff>
                    <xdr:row>2</xdr:row>
                    <xdr:rowOff>38100</xdr:rowOff>
                  </from>
                  <to>
                    <xdr:col>27</xdr:col>
                    <xdr:colOff>1600200</xdr:colOff>
                    <xdr:row>2</xdr:row>
                    <xdr:rowOff>628650</xdr:rowOff>
                  </to>
                </anchor>
              </controlPr>
            </control>
          </mc:Choice>
        </mc:AlternateContent>
        <mc:AlternateContent xmlns:mc="http://schemas.openxmlformats.org/markup-compatibility/2006">
          <mc:Choice Requires="x14">
            <control shapeId="3082" r:id="rId10" name="Button 10">
              <controlPr defaultSize="0" print="0" autoFill="0" autoPict="0" macro="[0]!order_hensai_buy_aCLMKabuHensaiData">
                <anchor moveWithCells="1" sizeWithCells="1">
                  <from>
                    <xdr:col>21</xdr:col>
                    <xdr:colOff>161925</xdr:colOff>
                    <xdr:row>2</xdr:row>
                    <xdr:rowOff>38100</xdr:rowOff>
                  </from>
                  <to>
                    <xdr:col>21</xdr:col>
                    <xdr:colOff>1600200</xdr:colOff>
                    <xdr:row>2</xdr:row>
                    <xdr:rowOff>628650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23"/>
  <sheetViews>
    <sheetView workbookViewId="0"/>
  </sheetViews>
  <sheetFormatPr defaultRowHeight="18.75" x14ac:dyDescent="0.4"/>
  <cols>
    <col min="1" max="1" width="14.875" customWidth="1"/>
    <col min="2" max="2" width="24.125" customWidth="1"/>
    <col min="3" max="3" width="21.375" customWidth="1"/>
    <col min="4" max="4" width="5.875" customWidth="1"/>
    <col min="5" max="5" width="12.125" customWidth="1"/>
    <col min="6" max="6" width="25.125" customWidth="1"/>
    <col min="9" max="9" width="25" customWidth="1"/>
    <col min="10" max="10" width="25.75" customWidth="1"/>
    <col min="11" max="11" width="43.25" customWidth="1"/>
    <col min="12" max="12" width="15.625" customWidth="1"/>
    <col min="13" max="13" width="14.25" bestFit="1" customWidth="1"/>
  </cols>
  <sheetData>
    <row r="1" spans="1:13" s="16" customFormat="1" ht="17.25" x14ac:dyDescent="0.4">
      <c r="A1" s="16" t="s">
        <v>71</v>
      </c>
      <c r="B1" s="16" t="s">
        <v>383</v>
      </c>
      <c r="F1" s="16" t="s">
        <v>382</v>
      </c>
      <c r="J1" s="16" t="s">
        <v>381</v>
      </c>
    </row>
    <row r="2" spans="1:13" x14ac:dyDescent="0.4">
      <c r="A2" s="11" t="s">
        <v>72</v>
      </c>
      <c r="B2" s="12" t="s">
        <v>94</v>
      </c>
      <c r="C2" s="12"/>
      <c r="D2" s="12"/>
      <c r="E2" s="12"/>
      <c r="F2" s="12" t="s">
        <v>95</v>
      </c>
      <c r="I2" s="12"/>
      <c r="J2" s="12" t="s">
        <v>159</v>
      </c>
      <c r="K2" s="12"/>
      <c r="L2" s="12"/>
      <c r="M2" s="11"/>
    </row>
    <row r="3" spans="1:13" ht="40.5" customHeight="1" x14ac:dyDescent="0.4"/>
    <row r="4" spans="1:13" x14ac:dyDescent="0.4">
      <c r="A4" s="9" t="s">
        <v>56</v>
      </c>
      <c r="E4" s="9" t="s">
        <v>59</v>
      </c>
      <c r="I4" s="9" t="s">
        <v>54</v>
      </c>
    </row>
    <row r="5" spans="1:13" x14ac:dyDescent="0.4">
      <c r="A5" t="s">
        <v>36</v>
      </c>
      <c r="B5" t="s">
        <v>35</v>
      </c>
      <c r="C5" t="s">
        <v>37</v>
      </c>
      <c r="F5" t="s">
        <v>101</v>
      </c>
      <c r="I5" t="s">
        <v>36</v>
      </c>
      <c r="J5" t="s">
        <v>67</v>
      </c>
      <c r="K5" t="s">
        <v>37</v>
      </c>
      <c r="M5" t="s">
        <v>57</v>
      </c>
    </row>
    <row r="6" spans="1:13" x14ac:dyDescent="0.4">
      <c r="A6" s="7" t="s">
        <v>661</v>
      </c>
      <c r="B6" s="3"/>
      <c r="C6" t="s">
        <v>662</v>
      </c>
      <c r="I6" s="7" t="s">
        <v>75</v>
      </c>
      <c r="J6" s="3"/>
      <c r="K6" t="s">
        <v>82</v>
      </c>
      <c r="M6" t="s">
        <v>57</v>
      </c>
    </row>
    <row r="7" spans="1:13" x14ac:dyDescent="0.4">
      <c r="A7" s="7" t="s">
        <v>663</v>
      </c>
      <c r="B7" s="3"/>
      <c r="C7" t="s">
        <v>664</v>
      </c>
      <c r="I7" s="7" t="s">
        <v>76</v>
      </c>
      <c r="J7" s="3"/>
      <c r="K7" t="s">
        <v>81</v>
      </c>
      <c r="M7" t="s">
        <v>57</v>
      </c>
    </row>
    <row r="8" spans="1:13" x14ac:dyDescent="0.4">
      <c r="B8" s="11" t="s">
        <v>55</v>
      </c>
      <c r="I8" t="s">
        <v>77</v>
      </c>
      <c r="J8" s="4" t="s">
        <v>84</v>
      </c>
      <c r="K8" t="s">
        <v>78</v>
      </c>
      <c r="M8" t="s">
        <v>57</v>
      </c>
    </row>
    <row r="9" spans="1:13" x14ac:dyDescent="0.4">
      <c r="B9" t="s">
        <v>99</v>
      </c>
      <c r="I9" t="s">
        <v>79</v>
      </c>
      <c r="J9" s="4"/>
      <c r="K9" t="s">
        <v>80</v>
      </c>
      <c r="M9" t="s">
        <v>57</v>
      </c>
    </row>
    <row r="10" spans="1:13" x14ac:dyDescent="0.4">
      <c r="I10" t="s">
        <v>83</v>
      </c>
      <c r="J10" s="4" t="s">
        <v>84</v>
      </c>
      <c r="K10" t="s">
        <v>87</v>
      </c>
      <c r="M10" t="s">
        <v>57</v>
      </c>
    </row>
    <row r="11" spans="1:13" x14ac:dyDescent="0.4">
      <c r="J11" s="11" t="s">
        <v>86</v>
      </c>
      <c r="M11" t="s">
        <v>57</v>
      </c>
    </row>
    <row r="12" spans="1:13" x14ac:dyDescent="0.4">
      <c r="J12" t="s">
        <v>179</v>
      </c>
    </row>
    <row r="13" spans="1:13" x14ac:dyDescent="0.4">
      <c r="J13" t="s">
        <v>100</v>
      </c>
    </row>
    <row r="16" spans="1:13" x14ac:dyDescent="0.4">
      <c r="B16" t="s">
        <v>365</v>
      </c>
      <c r="F16" t="s">
        <v>365</v>
      </c>
      <c r="J16" t="s">
        <v>365</v>
      </c>
    </row>
    <row r="17" spans="1:11" x14ac:dyDescent="0.4">
      <c r="A17" t="s">
        <v>359</v>
      </c>
      <c r="B17" s="8">
        <v>15</v>
      </c>
      <c r="E17" t="s">
        <v>406</v>
      </c>
      <c r="F17" s="8">
        <v>43</v>
      </c>
      <c r="I17" t="s">
        <v>359</v>
      </c>
      <c r="J17" s="8">
        <v>29</v>
      </c>
    </row>
    <row r="18" spans="1:11" x14ac:dyDescent="0.4">
      <c r="A18" t="s">
        <v>379</v>
      </c>
      <c r="B18" s="8" t="s">
        <v>421</v>
      </c>
      <c r="E18" t="s">
        <v>407</v>
      </c>
      <c r="F18" s="8" t="s">
        <v>405</v>
      </c>
      <c r="I18" t="s">
        <v>431</v>
      </c>
      <c r="J18" s="8" t="s">
        <v>430</v>
      </c>
    </row>
    <row r="19" spans="1:11" x14ac:dyDescent="0.4">
      <c r="A19" t="s">
        <v>419</v>
      </c>
      <c r="B19" s="8" t="s">
        <v>380</v>
      </c>
      <c r="E19" t="s">
        <v>408</v>
      </c>
      <c r="F19" s="8" t="s">
        <v>69</v>
      </c>
      <c r="I19" t="s">
        <v>369</v>
      </c>
      <c r="J19" s="8" t="s">
        <v>85</v>
      </c>
    </row>
    <row r="20" spans="1:11" x14ac:dyDescent="0.4">
      <c r="A20" t="s">
        <v>370</v>
      </c>
      <c r="B20" s="8">
        <v>0</v>
      </c>
      <c r="E20" t="s">
        <v>409</v>
      </c>
      <c r="F20" s="8">
        <v>0</v>
      </c>
      <c r="I20" t="s">
        <v>432</v>
      </c>
      <c r="J20" s="8">
        <v>0</v>
      </c>
      <c r="K20" t="s">
        <v>384</v>
      </c>
    </row>
    <row r="21" spans="1:11" x14ac:dyDescent="0.4">
      <c r="A21" t="s">
        <v>364</v>
      </c>
      <c r="B21" s="8"/>
      <c r="E21" t="s">
        <v>404</v>
      </c>
      <c r="F21" s="8"/>
      <c r="I21" t="s">
        <v>364</v>
      </c>
      <c r="J21" s="8"/>
    </row>
    <row r="22" spans="1:11" x14ac:dyDescent="0.4">
      <c r="A22" t="s">
        <v>422</v>
      </c>
      <c r="B22" s="8">
        <v>0</v>
      </c>
      <c r="E22" t="s">
        <v>410</v>
      </c>
      <c r="F22" s="8">
        <v>0</v>
      </c>
      <c r="I22" t="s">
        <v>433</v>
      </c>
      <c r="J22" s="8">
        <v>0</v>
      </c>
    </row>
    <row r="23" spans="1:11" x14ac:dyDescent="0.4">
      <c r="A23" t="s">
        <v>418</v>
      </c>
      <c r="E23" t="s">
        <v>411</v>
      </c>
      <c r="I23" t="s">
        <v>372</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2" r:id="rId3" name="Button 2">
              <controlPr defaultSize="0" print="0" autoFill="0" autoPict="0" macro="[0]!exec_CLMKabuCancelOrder">
                <anchor moveWithCells="1" sizeWithCells="1">
                  <from>
                    <xdr:col>1</xdr:col>
                    <xdr:colOff>161925</xdr:colOff>
                    <xdr:row>2</xdr:row>
                    <xdr:rowOff>133350</xdr:rowOff>
                  </from>
                  <to>
                    <xdr:col>1</xdr:col>
                    <xdr:colOff>1743075</xdr:colOff>
                    <xdr:row>2</xdr:row>
                    <xdr:rowOff>438150</xdr:rowOff>
                  </to>
                </anchor>
              </controlPr>
            </control>
          </mc:Choice>
        </mc:AlternateContent>
        <mc:AlternateContent xmlns:mc="http://schemas.openxmlformats.org/markup-compatibility/2006">
          <mc:Choice Requires="x14">
            <control shapeId="25603" r:id="rId4" name="Button 3">
              <controlPr defaultSize="0" print="0" autoFill="0" autoPict="0" macro="[0]!exec_CLMKabuCancelOrderAll">
                <anchor moveWithCells="1" sizeWithCells="1">
                  <from>
                    <xdr:col>5</xdr:col>
                    <xdr:colOff>161925</xdr:colOff>
                    <xdr:row>2</xdr:row>
                    <xdr:rowOff>133350</xdr:rowOff>
                  </from>
                  <to>
                    <xdr:col>5</xdr:col>
                    <xdr:colOff>1743075</xdr:colOff>
                    <xdr:row>2</xdr:row>
                    <xdr:rowOff>438150</xdr:rowOff>
                  </to>
                </anchor>
              </controlPr>
            </control>
          </mc:Choice>
        </mc:AlternateContent>
        <mc:AlternateContent xmlns:mc="http://schemas.openxmlformats.org/markup-compatibility/2006">
          <mc:Choice Requires="x14">
            <control shapeId="25604" r:id="rId5" name="Button 4">
              <controlPr defaultSize="0" print="0" autoFill="0" autoPict="0" macro="[0]!exec_CLMKabuCorrectOrder">
                <anchor moveWithCells="1" sizeWithCells="1">
                  <from>
                    <xdr:col>9</xdr:col>
                    <xdr:colOff>161925</xdr:colOff>
                    <xdr:row>2</xdr:row>
                    <xdr:rowOff>133350</xdr:rowOff>
                  </from>
                  <to>
                    <xdr:col>9</xdr:col>
                    <xdr:colOff>1743075</xdr:colOff>
                    <xdr:row>2</xdr:row>
                    <xdr:rowOff>438150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X228"/>
  <sheetViews>
    <sheetView workbookViewId="0"/>
  </sheetViews>
  <sheetFormatPr defaultRowHeight="18.75" x14ac:dyDescent="0.4"/>
  <cols>
    <col min="1" max="1" width="16.5" bestFit="1" customWidth="1"/>
    <col min="2" max="2" width="26.25" customWidth="1"/>
    <col min="3" max="5" width="16.5" customWidth="1"/>
    <col min="6" max="6" width="25.5" customWidth="1"/>
    <col min="8" max="8" width="4.25" customWidth="1"/>
    <col min="9" max="9" width="8.375" customWidth="1"/>
    <col min="10" max="10" width="18" customWidth="1"/>
    <col min="11" max="11" width="7.75" customWidth="1"/>
    <col min="12" max="12" width="3.375" bestFit="1" customWidth="1"/>
    <col min="15" max="24" width="8.375" customWidth="1"/>
  </cols>
  <sheetData>
    <row r="1" spans="1:24" x14ac:dyDescent="0.4">
      <c r="A1" s="11" t="s">
        <v>71</v>
      </c>
      <c r="B1" s="11" t="s">
        <v>328</v>
      </c>
      <c r="C1" s="11"/>
      <c r="D1" s="11"/>
      <c r="E1" s="11"/>
      <c r="F1" s="11" t="s">
        <v>327</v>
      </c>
    </row>
    <row r="2" spans="1:24" ht="19.5" thickBot="1" x14ac:dyDescent="0.45">
      <c r="A2" s="11" t="s">
        <v>72</v>
      </c>
      <c r="B2" s="11"/>
      <c r="C2" s="11"/>
      <c r="D2" s="11"/>
      <c r="E2" s="11"/>
      <c r="F2" s="15" t="s">
        <v>162</v>
      </c>
      <c r="O2" t="s">
        <v>326</v>
      </c>
      <c r="Q2" s="34" t="s">
        <v>334</v>
      </c>
      <c r="R2" s="35" t="s">
        <v>333</v>
      </c>
    </row>
    <row r="3" spans="1:24" ht="49.5" customHeight="1" thickTop="1" x14ac:dyDescent="0.4">
      <c r="H3" s="25" t="s">
        <v>321</v>
      </c>
      <c r="I3" s="26" t="s">
        <v>325</v>
      </c>
      <c r="J3" s="26" t="s">
        <v>323</v>
      </c>
      <c r="K3" s="26" t="s">
        <v>322</v>
      </c>
      <c r="L3" s="27" t="s">
        <v>324</v>
      </c>
      <c r="N3" t="s">
        <v>180</v>
      </c>
      <c r="O3" s="4" t="str">
        <f>I16</f>
        <v>pDOP</v>
      </c>
      <c r="P3" s="4" t="str">
        <f>I20</f>
        <v>tDPP:T</v>
      </c>
      <c r="Q3" s="4" t="str">
        <f>I10</f>
        <v>pDHP</v>
      </c>
      <c r="R3" s="4" t="str">
        <f>I11</f>
        <v>tDHP:T</v>
      </c>
      <c r="S3" s="4" t="str">
        <f>I14</f>
        <v>pDLP</v>
      </c>
      <c r="T3" s="4" t="str">
        <f>I15</f>
        <v>tDLP:T</v>
      </c>
      <c r="U3" s="4" t="str">
        <f>I19</f>
        <v>pDPP</v>
      </c>
      <c r="V3" s="4" t="str">
        <f>I20</f>
        <v>tDPP:T</v>
      </c>
      <c r="W3" s="4" t="str">
        <f>I24</f>
        <v>pDYWP</v>
      </c>
      <c r="X3" s="4" t="str">
        <f>I21</f>
        <v>pDV</v>
      </c>
    </row>
    <row r="4" spans="1:24" x14ac:dyDescent="0.4">
      <c r="B4" s="36" t="s">
        <v>336</v>
      </c>
      <c r="F4" s="36" t="s">
        <v>337</v>
      </c>
      <c r="H4" s="28">
        <v>1</v>
      </c>
      <c r="I4" s="29" t="s">
        <v>229</v>
      </c>
      <c r="J4" s="29" t="s">
        <v>230</v>
      </c>
      <c r="K4" s="29" t="str">
        <f>MID(I4,2,LEN(I4)-1)</f>
        <v>AAV</v>
      </c>
      <c r="L4" s="30" t="str">
        <f>LEFT(I4,1)</f>
        <v>p</v>
      </c>
      <c r="N4" s="4">
        <v>1332</v>
      </c>
    </row>
    <row r="5" spans="1:24" x14ac:dyDescent="0.4">
      <c r="A5" t="s">
        <v>36</v>
      </c>
      <c r="B5" t="s">
        <v>67</v>
      </c>
      <c r="C5" t="s">
        <v>37</v>
      </c>
      <c r="H5" s="28">
        <v>2</v>
      </c>
      <c r="I5" s="29" t="s">
        <v>231</v>
      </c>
      <c r="J5" s="29" t="s">
        <v>232</v>
      </c>
      <c r="K5" s="29" t="str">
        <f t="shared" ref="K5:K68" si="0">MID(I5,2,LEN(I5)-1)</f>
        <v>ABV</v>
      </c>
      <c r="L5" s="30" t="str">
        <f t="shared" ref="L5:L68" si="1">LEFT(I5,1)</f>
        <v>p</v>
      </c>
      <c r="N5" s="4">
        <v>1333</v>
      </c>
      <c r="P5" s="37" t="s">
        <v>340</v>
      </c>
    </row>
    <row r="6" spans="1:24" x14ac:dyDescent="0.4">
      <c r="A6" s="7" t="s">
        <v>329</v>
      </c>
      <c r="B6" s="3"/>
      <c r="C6" s="7" t="s">
        <v>331</v>
      </c>
      <c r="H6" s="28">
        <v>3</v>
      </c>
      <c r="I6" s="29" t="s">
        <v>187</v>
      </c>
      <c r="J6" s="29" t="s">
        <v>215</v>
      </c>
      <c r="K6" s="29" t="str">
        <f t="shared" si="0"/>
        <v>AV</v>
      </c>
      <c r="L6" s="30" t="str">
        <f t="shared" si="1"/>
        <v>p</v>
      </c>
      <c r="N6" s="4">
        <v>1605</v>
      </c>
      <c r="P6" s="36" t="s">
        <v>343</v>
      </c>
    </row>
    <row r="7" spans="1:24" x14ac:dyDescent="0.4">
      <c r="A7" s="7" t="s">
        <v>330</v>
      </c>
      <c r="B7" s="3" t="s">
        <v>51</v>
      </c>
      <c r="C7" s="7" t="s">
        <v>44</v>
      </c>
      <c r="H7" s="28">
        <v>4</v>
      </c>
      <c r="I7" s="29" t="s">
        <v>190</v>
      </c>
      <c r="J7" s="29" t="s">
        <v>218</v>
      </c>
      <c r="K7" s="29" t="str">
        <f t="shared" si="0"/>
        <v>BV</v>
      </c>
      <c r="L7" s="30" t="str">
        <f t="shared" si="1"/>
        <v>p</v>
      </c>
      <c r="N7" s="4">
        <v>1721</v>
      </c>
      <c r="P7" s="36" t="s">
        <v>341</v>
      </c>
      <c r="U7" s="24"/>
    </row>
    <row r="8" spans="1:24" x14ac:dyDescent="0.4">
      <c r="H8" s="28">
        <v>5</v>
      </c>
      <c r="I8" s="29" t="s">
        <v>221</v>
      </c>
      <c r="J8" s="29" t="s">
        <v>222</v>
      </c>
      <c r="K8" s="29" t="str">
        <f t="shared" si="0"/>
        <v>DCFS</v>
      </c>
      <c r="L8" s="30" t="str">
        <f t="shared" si="1"/>
        <v>x</v>
      </c>
      <c r="N8" s="4">
        <v>1801</v>
      </c>
    </row>
    <row r="9" spans="1:24" x14ac:dyDescent="0.4">
      <c r="H9" s="28">
        <v>6</v>
      </c>
      <c r="I9" s="29" t="s">
        <v>223</v>
      </c>
      <c r="J9" s="29" t="s">
        <v>224</v>
      </c>
      <c r="K9" s="29" t="str">
        <f t="shared" si="0"/>
        <v>DHF</v>
      </c>
      <c r="L9" s="30" t="str">
        <f t="shared" si="1"/>
        <v>p</v>
      </c>
      <c r="N9" s="4">
        <v>1802</v>
      </c>
      <c r="O9" s="38" t="s">
        <v>338</v>
      </c>
      <c r="P9" s="36" t="s">
        <v>342</v>
      </c>
    </row>
    <row r="10" spans="1:24" x14ac:dyDescent="0.4">
      <c r="H10" s="28">
        <v>7</v>
      </c>
      <c r="I10" s="29" t="s">
        <v>203</v>
      </c>
      <c r="J10" s="29" t="s">
        <v>204</v>
      </c>
      <c r="K10" s="29" t="str">
        <f t="shared" si="0"/>
        <v>DHP</v>
      </c>
      <c r="L10" s="30" t="str">
        <f t="shared" si="1"/>
        <v>p</v>
      </c>
      <c r="N10" s="4">
        <v>1803</v>
      </c>
      <c r="P10" s="36" t="s">
        <v>339</v>
      </c>
    </row>
    <row r="11" spans="1:24" x14ac:dyDescent="0.4">
      <c r="H11" s="28">
        <v>8</v>
      </c>
      <c r="I11" s="29" t="s">
        <v>205</v>
      </c>
      <c r="J11" s="29" t="s">
        <v>206</v>
      </c>
      <c r="K11" s="29" t="str">
        <f t="shared" si="0"/>
        <v>DHP:T</v>
      </c>
      <c r="L11" s="30" t="str">
        <f t="shared" si="1"/>
        <v>t</v>
      </c>
      <c r="N11" s="4">
        <v>1808</v>
      </c>
    </row>
    <row r="12" spans="1:24" x14ac:dyDescent="0.4">
      <c r="H12" s="28">
        <v>9</v>
      </c>
      <c r="I12" s="29" t="s">
        <v>227</v>
      </c>
      <c r="J12" s="29" t="s">
        <v>228</v>
      </c>
      <c r="K12" s="29" t="str">
        <f t="shared" si="0"/>
        <v>DJ</v>
      </c>
      <c r="L12" s="30" t="str">
        <f t="shared" si="1"/>
        <v>p</v>
      </c>
      <c r="N12" s="4">
        <v>1812</v>
      </c>
    </row>
    <row r="13" spans="1:24" x14ac:dyDescent="0.4">
      <c r="H13" s="28">
        <v>10</v>
      </c>
      <c r="I13" s="29" t="s">
        <v>225</v>
      </c>
      <c r="J13" s="29" t="s">
        <v>226</v>
      </c>
      <c r="K13" s="29" t="str">
        <f t="shared" si="0"/>
        <v>DLF</v>
      </c>
      <c r="L13" s="30" t="str">
        <f t="shared" si="1"/>
        <v>p</v>
      </c>
      <c r="N13" s="4">
        <v>1925</v>
      </c>
      <c r="P13" s="36" t="s">
        <v>412</v>
      </c>
    </row>
    <row r="14" spans="1:24" x14ac:dyDescent="0.4">
      <c r="A14" t="s">
        <v>58</v>
      </c>
      <c r="H14" s="28">
        <v>11</v>
      </c>
      <c r="I14" s="29" t="s">
        <v>207</v>
      </c>
      <c r="J14" s="29" t="s">
        <v>208</v>
      </c>
      <c r="K14" s="29" t="str">
        <f t="shared" si="0"/>
        <v>DLP</v>
      </c>
      <c r="L14" s="30" t="str">
        <f t="shared" si="1"/>
        <v>p</v>
      </c>
      <c r="N14" s="4">
        <v>1928</v>
      </c>
    </row>
    <row r="15" spans="1:24" x14ac:dyDescent="0.4">
      <c r="A15" t="s">
        <v>66</v>
      </c>
      <c r="B15" t="b">
        <v>1</v>
      </c>
      <c r="E15" t="s">
        <v>66</v>
      </c>
      <c r="F15" t="b">
        <v>1</v>
      </c>
      <c r="H15" s="28">
        <v>12</v>
      </c>
      <c r="I15" s="29" t="s">
        <v>209</v>
      </c>
      <c r="J15" s="29" t="s">
        <v>210</v>
      </c>
      <c r="K15" s="29" t="str">
        <f t="shared" si="0"/>
        <v>DLP:T</v>
      </c>
      <c r="L15" s="30" t="str">
        <f t="shared" si="1"/>
        <v>t</v>
      </c>
      <c r="N15" s="4">
        <v>1963</v>
      </c>
    </row>
    <row r="16" spans="1:24" x14ac:dyDescent="0.4">
      <c r="A16" t="s">
        <v>65</v>
      </c>
      <c r="B16" t="s">
        <v>365</v>
      </c>
      <c r="E16" t="s">
        <v>65</v>
      </c>
      <c r="F16" t="s">
        <v>365</v>
      </c>
      <c r="H16" s="28">
        <v>13</v>
      </c>
      <c r="I16" s="29" t="s">
        <v>199</v>
      </c>
      <c r="J16" s="29" t="s">
        <v>200</v>
      </c>
      <c r="K16" s="29" t="str">
        <f t="shared" si="0"/>
        <v>DOP</v>
      </c>
      <c r="L16" s="30" t="str">
        <f t="shared" si="1"/>
        <v>p</v>
      </c>
      <c r="N16" s="4">
        <v>2002</v>
      </c>
    </row>
    <row r="17" spans="1:14" x14ac:dyDescent="0.4">
      <c r="A17" t="s">
        <v>359</v>
      </c>
      <c r="B17" s="8">
        <v>46</v>
      </c>
      <c r="E17" t="s">
        <v>447</v>
      </c>
      <c r="F17" s="8">
        <v>44</v>
      </c>
      <c r="H17" s="28">
        <v>14</v>
      </c>
      <c r="I17" s="29" t="s">
        <v>201</v>
      </c>
      <c r="J17" s="29" t="s">
        <v>202</v>
      </c>
      <c r="K17" s="29" t="str">
        <f t="shared" si="0"/>
        <v>DOP:T</v>
      </c>
      <c r="L17" s="30" t="str">
        <f t="shared" si="1"/>
        <v>t</v>
      </c>
      <c r="N17" s="4">
        <v>2269</v>
      </c>
    </row>
    <row r="18" spans="1:14" x14ac:dyDescent="0.4">
      <c r="A18" t="s">
        <v>379</v>
      </c>
      <c r="B18" s="13" t="s">
        <v>450</v>
      </c>
      <c r="E18" t="s">
        <v>379</v>
      </c>
      <c r="F18" s="13" t="s">
        <v>446</v>
      </c>
      <c r="H18" s="28">
        <v>15</v>
      </c>
      <c r="I18" s="29" t="s">
        <v>195</v>
      </c>
      <c r="J18" s="29" t="s">
        <v>196</v>
      </c>
      <c r="K18" s="29" t="str">
        <f t="shared" si="0"/>
        <v>DPG</v>
      </c>
      <c r="L18" s="30" t="str">
        <f t="shared" si="1"/>
        <v>p</v>
      </c>
      <c r="N18" s="4">
        <v>2282</v>
      </c>
    </row>
    <row r="19" spans="1:14" x14ac:dyDescent="0.4">
      <c r="A19" t="s">
        <v>369</v>
      </c>
      <c r="B19" s="14" t="s">
        <v>332</v>
      </c>
      <c r="E19" t="s">
        <v>448</v>
      </c>
      <c r="F19" s="14" t="s">
        <v>351</v>
      </c>
      <c r="H19" s="28">
        <v>16</v>
      </c>
      <c r="I19" s="29" t="s">
        <v>181</v>
      </c>
      <c r="J19" s="29" t="s">
        <v>193</v>
      </c>
      <c r="K19" s="29" t="str">
        <f t="shared" si="0"/>
        <v>DPP</v>
      </c>
      <c r="L19" s="30" t="str">
        <f t="shared" si="1"/>
        <v>p</v>
      </c>
      <c r="N19" s="4">
        <v>2413</v>
      </c>
    </row>
    <row r="20" spans="1:14" x14ac:dyDescent="0.4">
      <c r="A20" t="s">
        <v>451</v>
      </c>
      <c r="B20" s="14">
        <v>0</v>
      </c>
      <c r="E20" t="s">
        <v>370</v>
      </c>
      <c r="F20" s="14">
        <v>0</v>
      </c>
      <c r="H20" s="28">
        <v>17</v>
      </c>
      <c r="I20" s="29" t="s">
        <v>182</v>
      </c>
      <c r="J20" s="29" t="s">
        <v>194</v>
      </c>
      <c r="K20" s="29" t="str">
        <f t="shared" si="0"/>
        <v>DPP:T</v>
      </c>
      <c r="L20" s="30" t="str">
        <f t="shared" si="1"/>
        <v>t</v>
      </c>
      <c r="N20" s="4">
        <v>2432</v>
      </c>
    </row>
    <row r="21" spans="1:14" x14ac:dyDescent="0.4">
      <c r="A21" t="s">
        <v>364</v>
      </c>
      <c r="B21" s="14"/>
      <c r="E21" t="s">
        <v>364</v>
      </c>
      <c r="F21" s="14"/>
      <c r="H21" s="28">
        <v>18</v>
      </c>
      <c r="I21" s="29" t="s">
        <v>211</v>
      </c>
      <c r="J21" s="29" t="s">
        <v>212</v>
      </c>
      <c r="K21" s="29" t="str">
        <f t="shared" si="0"/>
        <v>DV</v>
      </c>
      <c r="L21" s="30" t="str">
        <f t="shared" si="1"/>
        <v>p</v>
      </c>
      <c r="N21" s="4">
        <v>2501</v>
      </c>
    </row>
    <row r="22" spans="1:14" x14ac:dyDescent="0.4">
      <c r="A22" t="s">
        <v>371</v>
      </c>
      <c r="B22" s="14"/>
      <c r="E22" t="s">
        <v>371</v>
      </c>
      <c r="F22" s="14"/>
      <c r="H22" s="28">
        <v>19</v>
      </c>
      <c r="I22" s="29" t="s">
        <v>219</v>
      </c>
      <c r="J22" s="29" t="s">
        <v>220</v>
      </c>
      <c r="K22" s="29" t="str">
        <f t="shared" si="0"/>
        <v>DVES</v>
      </c>
      <c r="L22" s="30" t="str">
        <f t="shared" si="1"/>
        <v>x</v>
      </c>
      <c r="N22" s="4">
        <v>2502</v>
      </c>
    </row>
    <row r="23" spans="1:14" x14ac:dyDescent="0.4">
      <c r="A23" t="s">
        <v>372</v>
      </c>
      <c r="B23" s="14"/>
      <c r="E23" t="s">
        <v>449</v>
      </c>
      <c r="F23" s="14"/>
      <c r="H23" s="28">
        <v>20</v>
      </c>
      <c r="I23" s="29" t="s">
        <v>184</v>
      </c>
      <c r="J23" s="29" t="s">
        <v>198</v>
      </c>
      <c r="K23" s="29" t="str">
        <f t="shared" si="0"/>
        <v>DYRP</v>
      </c>
      <c r="L23" s="30" t="str">
        <f t="shared" si="1"/>
        <v>p</v>
      </c>
      <c r="N23" s="4">
        <v>2503</v>
      </c>
    </row>
    <row r="24" spans="1:14" x14ac:dyDescent="0.4">
      <c r="H24" s="28">
        <v>21</v>
      </c>
      <c r="I24" s="29" t="s">
        <v>183</v>
      </c>
      <c r="J24" s="29" t="s">
        <v>197</v>
      </c>
      <c r="K24" s="29" t="str">
        <f t="shared" si="0"/>
        <v>DYWP</v>
      </c>
      <c r="L24" s="30" t="str">
        <f t="shared" si="1"/>
        <v>p</v>
      </c>
      <c r="N24" s="4">
        <v>2531</v>
      </c>
    </row>
    <row r="25" spans="1:14" x14ac:dyDescent="0.4">
      <c r="H25" s="28">
        <v>22</v>
      </c>
      <c r="I25" s="29" t="s">
        <v>235</v>
      </c>
      <c r="J25" s="29" t="s">
        <v>236</v>
      </c>
      <c r="K25" s="29" t="str">
        <f t="shared" si="0"/>
        <v>GAV10</v>
      </c>
      <c r="L25" s="30" t="str">
        <f t="shared" si="1"/>
        <v>p</v>
      </c>
      <c r="N25" s="4">
        <v>2768</v>
      </c>
    </row>
    <row r="26" spans="1:14" x14ac:dyDescent="0.4">
      <c r="H26" s="28">
        <v>23</v>
      </c>
      <c r="I26" s="29" t="s">
        <v>237</v>
      </c>
      <c r="J26" s="29" t="s">
        <v>238</v>
      </c>
      <c r="K26" s="29" t="str">
        <f t="shared" si="0"/>
        <v>GAP10</v>
      </c>
      <c r="L26" s="30" t="str">
        <f t="shared" si="1"/>
        <v>p</v>
      </c>
      <c r="N26" s="4">
        <v>2801</v>
      </c>
    </row>
    <row r="27" spans="1:14" x14ac:dyDescent="0.4">
      <c r="H27" s="28">
        <v>24</v>
      </c>
      <c r="I27" s="29" t="s">
        <v>239</v>
      </c>
      <c r="J27" s="29" t="s">
        <v>240</v>
      </c>
      <c r="K27" s="29" t="str">
        <f t="shared" si="0"/>
        <v>GAV9</v>
      </c>
      <c r="L27" s="30" t="str">
        <f t="shared" si="1"/>
        <v>p</v>
      </c>
      <c r="N27" s="4">
        <v>2802</v>
      </c>
    </row>
    <row r="28" spans="1:14" x14ac:dyDescent="0.4">
      <c r="H28" s="28">
        <v>25</v>
      </c>
      <c r="I28" s="29" t="s">
        <v>241</v>
      </c>
      <c r="J28" s="29" t="s">
        <v>242</v>
      </c>
      <c r="K28" s="29" t="str">
        <f t="shared" si="0"/>
        <v>GAP9</v>
      </c>
      <c r="L28" s="30" t="str">
        <f t="shared" si="1"/>
        <v>p</v>
      </c>
      <c r="N28" s="4">
        <v>2871</v>
      </c>
    </row>
    <row r="29" spans="1:14" x14ac:dyDescent="0.4">
      <c r="H29" s="28">
        <v>26</v>
      </c>
      <c r="I29" s="29" t="s">
        <v>243</v>
      </c>
      <c r="J29" s="29" t="s">
        <v>244</v>
      </c>
      <c r="K29" s="29" t="str">
        <f t="shared" si="0"/>
        <v>GAV8</v>
      </c>
      <c r="L29" s="30" t="str">
        <f t="shared" si="1"/>
        <v>p</v>
      </c>
      <c r="N29" s="4">
        <v>2914</v>
      </c>
    </row>
    <row r="30" spans="1:14" x14ac:dyDescent="0.4">
      <c r="H30" s="28">
        <v>27</v>
      </c>
      <c r="I30" s="29" t="s">
        <v>245</v>
      </c>
      <c r="J30" s="29" t="s">
        <v>246</v>
      </c>
      <c r="K30" s="29" t="str">
        <f t="shared" si="0"/>
        <v>GAP8</v>
      </c>
      <c r="L30" s="30" t="str">
        <f t="shared" si="1"/>
        <v>p</v>
      </c>
      <c r="N30" s="4">
        <v>3086</v>
      </c>
    </row>
    <row r="31" spans="1:14" x14ac:dyDescent="0.4">
      <c r="H31" s="28">
        <v>28</v>
      </c>
      <c r="I31" s="29" t="s">
        <v>247</v>
      </c>
      <c r="J31" s="29" t="s">
        <v>248</v>
      </c>
      <c r="K31" s="29" t="str">
        <f t="shared" si="0"/>
        <v>GAV7</v>
      </c>
      <c r="L31" s="30" t="str">
        <f t="shared" si="1"/>
        <v>p</v>
      </c>
      <c r="N31" s="4">
        <v>3099</v>
      </c>
    </row>
    <row r="32" spans="1:14" x14ac:dyDescent="0.4">
      <c r="H32" s="28">
        <v>29</v>
      </c>
      <c r="I32" s="29" t="s">
        <v>249</v>
      </c>
      <c r="J32" s="29" t="s">
        <v>250</v>
      </c>
      <c r="K32" s="29" t="str">
        <f t="shared" si="0"/>
        <v>GAP7</v>
      </c>
      <c r="L32" s="30" t="str">
        <f t="shared" si="1"/>
        <v>p</v>
      </c>
      <c r="N32" s="4">
        <v>3101</v>
      </c>
    </row>
    <row r="33" spans="8:14" x14ac:dyDescent="0.4">
      <c r="H33" s="28">
        <v>30</v>
      </c>
      <c r="I33" s="29" t="s">
        <v>251</v>
      </c>
      <c r="J33" s="29" t="s">
        <v>252</v>
      </c>
      <c r="K33" s="29" t="str">
        <f t="shared" si="0"/>
        <v>GAV6</v>
      </c>
      <c r="L33" s="30" t="str">
        <f t="shared" si="1"/>
        <v>p</v>
      </c>
      <c r="N33" s="4">
        <v>3103</v>
      </c>
    </row>
    <row r="34" spans="8:14" x14ac:dyDescent="0.4">
      <c r="H34" s="28">
        <v>31</v>
      </c>
      <c r="I34" s="29" t="s">
        <v>253</v>
      </c>
      <c r="J34" s="29" t="s">
        <v>254</v>
      </c>
      <c r="K34" s="29" t="str">
        <f t="shared" si="0"/>
        <v>GAP6</v>
      </c>
      <c r="L34" s="30" t="str">
        <f t="shared" si="1"/>
        <v>p</v>
      </c>
      <c r="N34" s="4">
        <v>3289</v>
      </c>
    </row>
    <row r="35" spans="8:14" x14ac:dyDescent="0.4">
      <c r="H35" s="28">
        <v>32</v>
      </c>
      <c r="I35" s="29" t="s">
        <v>255</v>
      </c>
      <c r="J35" s="29" t="s">
        <v>256</v>
      </c>
      <c r="K35" s="29" t="str">
        <f t="shared" si="0"/>
        <v>GAV5</v>
      </c>
      <c r="L35" s="30" t="str">
        <f t="shared" si="1"/>
        <v>p</v>
      </c>
      <c r="N35" s="4">
        <v>3382</v>
      </c>
    </row>
    <row r="36" spans="8:14" x14ac:dyDescent="0.4">
      <c r="H36" s="28">
        <v>33</v>
      </c>
      <c r="I36" s="29" t="s">
        <v>257</v>
      </c>
      <c r="J36" s="29" t="s">
        <v>258</v>
      </c>
      <c r="K36" s="29" t="str">
        <f t="shared" si="0"/>
        <v>GAP5</v>
      </c>
      <c r="L36" s="30" t="str">
        <f t="shared" si="1"/>
        <v>p</v>
      </c>
      <c r="N36" s="4">
        <v>3401</v>
      </c>
    </row>
    <row r="37" spans="8:14" x14ac:dyDescent="0.4">
      <c r="H37" s="28">
        <v>34</v>
      </c>
      <c r="I37" s="29" t="s">
        <v>259</v>
      </c>
      <c r="J37" s="29" t="s">
        <v>260</v>
      </c>
      <c r="K37" s="29" t="str">
        <f t="shared" si="0"/>
        <v>GAV4</v>
      </c>
      <c r="L37" s="30" t="str">
        <f t="shared" si="1"/>
        <v>p</v>
      </c>
      <c r="N37" s="4">
        <v>3402</v>
      </c>
    </row>
    <row r="38" spans="8:14" x14ac:dyDescent="0.4">
      <c r="H38" s="28">
        <v>35</v>
      </c>
      <c r="I38" s="29" t="s">
        <v>261</v>
      </c>
      <c r="J38" s="29" t="s">
        <v>262</v>
      </c>
      <c r="K38" s="29" t="str">
        <f t="shared" si="0"/>
        <v>GAP4</v>
      </c>
      <c r="L38" s="30" t="str">
        <f t="shared" si="1"/>
        <v>p</v>
      </c>
      <c r="N38" s="4">
        <v>3405</v>
      </c>
    </row>
    <row r="39" spans="8:14" x14ac:dyDescent="0.4">
      <c r="H39" s="28">
        <v>36</v>
      </c>
      <c r="I39" s="29" t="s">
        <v>263</v>
      </c>
      <c r="J39" s="29" t="s">
        <v>264</v>
      </c>
      <c r="K39" s="29" t="str">
        <f t="shared" si="0"/>
        <v>GAV3</v>
      </c>
      <c r="L39" s="30" t="str">
        <f t="shared" si="1"/>
        <v>p</v>
      </c>
      <c r="N39" s="4">
        <v>3407</v>
      </c>
    </row>
    <row r="40" spans="8:14" x14ac:dyDescent="0.4">
      <c r="H40" s="28">
        <v>37</v>
      </c>
      <c r="I40" s="29" t="s">
        <v>265</v>
      </c>
      <c r="J40" s="29" t="s">
        <v>266</v>
      </c>
      <c r="K40" s="29" t="str">
        <f t="shared" si="0"/>
        <v>GAP3</v>
      </c>
      <c r="L40" s="30" t="str">
        <f t="shared" si="1"/>
        <v>p</v>
      </c>
      <c r="N40" s="4">
        <v>3436</v>
      </c>
    </row>
    <row r="41" spans="8:14" x14ac:dyDescent="0.4">
      <c r="H41" s="28">
        <v>38</v>
      </c>
      <c r="I41" s="29" t="s">
        <v>267</v>
      </c>
      <c r="J41" s="29" t="s">
        <v>268</v>
      </c>
      <c r="K41" s="29" t="str">
        <f t="shared" si="0"/>
        <v>GAV2</v>
      </c>
      <c r="L41" s="30" t="str">
        <f t="shared" si="1"/>
        <v>p</v>
      </c>
      <c r="N41" s="4">
        <v>3659</v>
      </c>
    </row>
    <row r="42" spans="8:14" x14ac:dyDescent="0.4">
      <c r="H42" s="28">
        <v>39</v>
      </c>
      <c r="I42" s="29" t="s">
        <v>269</v>
      </c>
      <c r="J42" s="29" t="s">
        <v>270</v>
      </c>
      <c r="K42" s="29" t="str">
        <f t="shared" si="0"/>
        <v>GAP2</v>
      </c>
      <c r="L42" s="30" t="str">
        <f t="shared" si="1"/>
        <v>p</v>
      </c>
      <c r="N42" s="4">
        <v>3861</v>
      </c>
    </row>
    <row r="43" spans="8:14" x14ac:dyDescent="0.4">
      <c r="H43" s="28">
        <v>40</v>
      </c>
      <c r="I43" s="29" t="s">
        <v>271</v>
      </c>
      <c r="J43" s="29" t="s">
        <v>272</v>
      </c>
      <c r="K43" s="29" t="str">
        <f t="shared" si="0"/>
        <v>GAV1</v>
      </c>
      <c r="L43" s="30" t="str">
        <f t="shared" si="1"/>
        <v>p</v>
      </c>
      <c r="N43" s="4">
        <v>3863</v>
      </c>
    </row>
    <row r="44" spans="8:14" x14ac:dyDescent="0.4">
      <c r="H44" s="28">
        <v>41</v>
      </c>
      <c r="I44" s="29" t="s">
        <v>273</v>
      </c>
      <c r="J44" s="29" t="s">
        <v>274</v>
      </c>
      <c r="K44" s="29" t="str">
        <f t="shared" si="0"/>
        <v>GAP1</v>
      </c>
      <c r="L44" s="30" t="str">
        <f t="shared" si="1"/>
        <v>p</v>
      </c>
      <c r="N44" s="4">
        <v>4004</v>
      </c>
    </row>
    <row r="45" spans="8:14" x14ac:dyDescent="0.4">
      <c r="H45" s="28">
        <v>42</v>
      </c>
      <c r="I45" s="29" t="s">
        <v>275</v>
      </c>
      <c r="J45" s="29" t="s">
        <v>276</v>
      </c>
      <c r="K45" s="29" t="str">
        <f t="shared" si="0"/>
        <v>GBV1</v>
      </c>
      <c r="L45" s="30" t="str">
        <f t="shared" si="1"/>
        <v>p</v>
      </c>
      <c r="N45" s="4">
        <v>4005</v>
      </c>
    </row>
    <row r="46" spans="8:14" x14ac:dyDescent="0.4">
      <c r="H46" s="28">
        <v>43</v>
      </c>
      <c r="I46" s="29" t="s">
        <v>277</v>
      </c>
      <c r="J46" s="29" t="s">
        <v>278</v>
      </c>
      <c r="K46" s="29" t="str">
        <f t="shared" si="0"/>
        <v>GBP1</v>
      </c>
      <c r="L46" s="30" t="str">
        <f t="shared" si="1"/>
        <v>p</v>
      </c>
      <c r="N46" s="4">
        <v>4021</v>
      </c>
    </row>
    <row r="47" spans="8:14" x14ac:dyDescent="0.4">
      <c r="H47" s="28">
        <v>44</v>
      </c>
      <c r="I47" s="29" t="s">
        <v>279</v>
      </c>
      <c r="J47" s="29" t="s">
        <v>280</v>
      </c>
      <c r="K47" s="29" t="str">
        <f t="shared" si="0"/>
        <v>GBV2</v>
      </c>
      <c r="L47" s="30" t="str">
        <f t="shared" si="1"/>
        <v>p</v>
      </c>
      <c r="N47" s="4">
        <v>4042</v>
      </c>
    </row>
    <row r="48" spans="8:14" x14ac:dyDescent="0.4">
      <c r="H48" s="28">
        <v>45</v>
      </c>
      <c r="I48" s="29" t="s">
        <v>281</v>
      </c>
      <c r="J48" s="29" t="s">
        <v>282</v>
      </c>
      <c r="K48" s="29" t="str">
        <f t="shared" si="0"/>
        <v>GBP2</v>
      </c>
      <c r="L48" s="30" t="str">
        <f t="shared" si="1"/>
        <v>p</v>
      </c>
      <c r="N48" s="4">
        <v>4043</v>
      </c>
    </row>
    <row r="49" spans="8:14" x14ac:dyDescent="0.4">
      <c r="H49" s="28">
        <v>46</v>
      </c>
      <c r="I49" s="29" t="s">
        <v>283</v>
      </c>
      <c r="J49" s="29" t="s">
        <v>284</v>
      </c>
      <c r="K49" s="29" t="str">
        <f t="shared" si="0"/>
        <v>GBV3</v>
      </c>
      <c r="L49" s="30" t="str">
        <f t="shared" si="1"/>
        <v>p</v>
      </c>
      <c r="N49" s="4">
        <v>4061</v>
      </c>
    </row>
    <row r="50" spans="8:14" x14ac:dyDescent="0.4">
      <c r="H50" s="28">
        <v>47</v>
      </c>
      <c r="I50" s="29" t="s">
        <v>285</v>
      </c>
      <c r="J50" s="29" t="s">
        <v>286</v>
      </c>
      <c r="K50" s="29" t="str">
        <f t="shared" si="0"/>
        <v>GBP3</v>
      </c>
      <c r="L50" s="30" t="str">
        <f t="shared" si="1"/>
        <v>p</v>
      </c>
      <c r="N50" s="4">
        <v>4063</v>
      </c>
    </row>
    <row r="51" spans="8:14" x14ac:dyDescent="0.4">
      <c r="H51" s="28">
        <v>48</v>
      </c>
      <c r="I51" s="29" t="s">
        <v>287</v>
      </c>
      <c r="J51" s="29" t="s">
        <v>288</v>
      </c>
      <c r="K51" s="29" t="str">
        <f t="shared" si="0"/>
        <v>GBV4</v>
      </c>
      <c r="L51" s="30" t="str">
        <f t="shared" si="1"/>
        <v>p</v>
      </c>
      <c r="N51" s="4">
        <v>4151</v>
      </c>
    </row>
    <row r="52" spans="8:14" x14ac:dyDescent="0.4">
      <c r="H52" s="28">
        <v>49</v>
      </c>
      <c r="I52" s="29" t="s">
        <v>289</v>
      </c>
      <c r="J52" s="29" t="s">
        <v>290</v>
      </c>
      <c r="K52" s="29" t="str">
        <f t="shared" si="0"/>
        <v>GBP4</v>
      </c>
      <c r="L52" s="30" t="str">
        <f t="shared" si="1"/>
        <v>p</v>
      </c>
      <c r="N52" s="4">
        <v>4183</v>
      </c>
    </row>
    <row r="53" spans="8:14" x14ac:dyDescent="0.4">
      <c r="H53" s="28">
        <v>50</v>
      </c>
      <c r="I53" s="29" t="s">
        <v>291</v>
      </c>
      <c r="J53" s="29" t="s">
        <v>292</v>
      </c>
      <c r="K53" s="29" t="str">
        <f t="shared" si="0"/>
        <v>GBV5</v>
      </c>
      <c r="L53" s="30" t="str">
        <f t="shared" si="1"/>
        <v>p</v>
      </c>
      <c r="N53" s="4">
        <v>4188</v>
      </c>
    </row>
    <row r="54" spans="8:14" x14ac:dyDescent="0.4">
      <c r="H54" s="28">
        <v>51</v>
      </c>
      <c r="I54" s="29" t="s">
        <v>293</v>
      </c>
      <c r="J54" s="29" t="s">
        <v>294</v>
      </c>
      <c r="K54" s="29" t="str">
        <f t="shared" si="0"/>
        <v>GBP5</v>
      </c>
      <c r="L54" s="30" t="str">
        <f t="shared" si="1"/>
        <v>p</v>
      </c>
      <c r="N54" s="4">
        <v>4208</v>
      </c>
    </row>
    <row r="55" spans="8:14" x14ac:dyDescent="0.4">
      <c r="H55" s="28">
        <v>52</v>
      </c>
      <c r="I55" s="29" t="s">
        <v>295</v>
      </c>
      <c r="J55" s="29" t="s">
        <v>296</v>
      </c>
      <c r="K55" s="29" t="str">
        <f t="shared" si="0"/>
        <v>GBV6</v>
      </c>
      <c r="L55" s="30" t="str">
        <f t="shared" si="1"/>
        <v>p</v>
      </c>
      <c r="N55" s="4">
        <v>4324</v>
      </c>
    </row>
    <row r="56" spans="8:14" x14ac:dyDescent="0.4">
      <c r="H56" s="28">
        <v>53</v>
      </c>
      <c r="I56" s="29" t="s">
        <v>297</v>
      </c>
      <c r="J56" s="29" t="s">
        <v>298</v>
      </c>
      <c r="K56" s="29" t="str">
        <f t="shared" si="0"/>
        <v>GBP6</v>
      </c>
      <c r="L56" s="30" t="str">
        <f t="shared" si="1"/>
        <v>p</v>
      </c>
      <c r="N56" s="4">
        <v>4452</v>
      </c>
    </row>
    <row r="57" spans="8:14" x14ac:dyDescent="0.4">
      <c r="H57" s="28">
        <v>54</v>
      </c>
      <c r="I57" s="29" t="s">
        <v>299</v>
      </c>
      <c r="J57" s="29" t="s">
        <v>300</v>
      </c>
      <c r="K57" s="29" t="str">
        <f t="shared" si="0"/>
        <v>GBV7</v>
      </c>
      <c r="L57" s="30" t="str">
        <f t="shared" si="1"/>
        <v>p</v>
      </c>
      <c r="N57" s="4">
        <v>4502</v>
      </c>
    </row>
    <row r="58" spans="8:14" x14ac:dyDescent="0.4">
      <c r="H58" s="28">
        <v>55</v>
      </c>
      <c r="I58" s="29" t="s">
        <v>301</v>
      </c>
      <c r="J58" s="29" t="s">
        <v>302</v>
      </c>
      <c r="K58" s="29" t="str">
        <f t="shared" si="0"/>
        <v>GBP7</v>
      </c>
      <c r="L58" s="30" t="str">
        <f t="shared" si="1"/>
        <v>p</v>
      </c>
      <c r="N58" s="4">
        <v>4503</v>
      </c>
    </row>
    <row r="59" spans="8:14" x14ac:dyDescent="0.4">
      <c r="H59" s="28">
        <v>56</v>
      </c>
      <c r="I59" s="29" t="s">
        <v>303</v>
      </c>
      <c r="J59" s="29" t="s">
        <v>304</v>
      </c>
      <c r="K59" s="29" t="str">
        <f t="shared" si="0"/>
        <v>GBV8</v>
      </c>
      <c r="L59" s="30" t="str">
        <f t="shared" si="1"/>
        <v>p</v>
      </c>
      <c r="N59" s="4">
        <v>4506</v>
      </c>
    </row>
    <row r="60" spans="8:14" x14ac:dyDescent="0.4">
      <c r="H60" s="28">
        <v>57</v>
      </c>
      <c r="I60" s="29" t="s">
        <v>305</v>
      </c>
      <c r="J60" s="29" t="s">
        <v>306</v>
      </c>
      <c r="K60" s="29" t="str">
        <f t="shared" si="0"/>
        <v>GBP8</v>
      </c>
      <c r="L60" s="30" t="str">
        <f t="shared" si="1"/>
        <v>p</v>
      </c>
      <c r="N60" s="4">
        <v>4507</v>
      </c>
    </row>
    <row r="61" spans="8:14" x14ac:dyDescent="0.4">
      <c r="H61" s="28">
        <v>58</v>
      </c>
      <c r="I61" s="29" t="s">
        <v>307</v>
      </c>
      <c r="J61" s="29" t="s">
        <v>308</v>
      </c>
      <c r="K61" s="29" t="str">
        <f t="shared" si="0"/>
        <v>GBV9</v>
      </c>
      <c r="L61" s="30" t="str">
        <f t="shared" si="1"/>
        <v>p</v>
      </c>
      <c r="N61" s="4">
        <v>4519</v>
      </c>
    </row>
    <row r="62" spans="8:14" x14ac:dyDescent="0.4">
      <c r="H62" s="28">
        <v>59</v>
      </c>
      <c r="I62" s="29" t="s">
        <v>309</v>
      </c>
      <c r="J62" s="29" t="s">
        <v>310</v>
      </c>
      <c r="K62" s="29" t="str">
        <f t="shared" si="0"/>
        <v>GBP9</v>
      </c>
      <c r="L62" s="30" t="str">
        <f t="shared" si="1"/>
        <v>p</v>
      </c>
      <c r="N62" s="4">
        <v>4523</v>
      </c>
    </row>
    <row r="63" spans="8:14" x14ac:dyDescent="0.4">
      <c r="H63" s="28">
        <v>60</v>
      </c>
      <c r="I63" s="29" t="s">
        <v>311</v>
      </c>
      <c r="J63" s="29" t="s">
        <v>312</v>
      </c>
      <c r="K63" s="29" t="str">
        <f t="shared" si="0"/>
        <v>GBV10</v>
      </c>
      <c r="L63" s="30" t="str">
        <f t="shared" si="1"/>
        <v>p</v>
      </c>
      <c r="N63" s="4">
        <v>4543</v>
      </c>
    </row>
    <row r="64" spans="8:14" x14ac:dyDescent="0.4">
      <c r="H64" s="28">
        <v>61</v>
      </c>
      <c r="I64" s="29" t="s">
        <v>313</v>
      </c>
      <c r="J64" s="29" t="s">
        <v>314</v>
      </c>
      <c r="K64" s="29" t="str">
        <f t="shared" si="0"/>
        <v>GBP10</v>
      </c>
      <c r="L64" s="30" t="str">
        <f t="shared" si="1"/>
        <v>p</v>
      </c>
      <c r="N64" s="4">
        <v>4568</v>
      </c>
    </row>
    <row r="65" spans="8:14" x14ac:dyDescent="0.4">
      <c r="H65" s="28">
        <v>62</v>
      </c>
      <c r="I65" s="29" t="s">
        <v>191</v>
      </c>
      <c r="J65" s="29" t="s">
        <v>192</v>
      </c>
      <c r="K65" s="29" t="str">
        <f t="shared" si="0"/>
        <v>LISS</v>
      </c>
      <c r="L65" s="30" t="str">
        <f t="shared" si="1"/>
        <v>x</v>
      </c>
      <c r="N65" s="4">
        <v>4578</v>
      </c>
    </row>
    <row r="66" spans="8:14" x14ac:dyDescent="0.4">
      <c r="H66" s="28">
        <v>63</v>
      </c>
      <c r="I66" s="29" t="s">
        <v>319</v>
      </c>
      <c r="J66" s="29" t="s">
        <v>320</v>
      </c>
      <c r="K66" s="29" t="str">
        <f t="shared" si="0"/>
        <v>PRP</v>
      </c>
      <c r="L66" s="30" t="str">
        <f t="shared" si="1"/>
        <v>p</v>
      </c>
      <c r="N66" s="4">
        <v>4631</v>
      </c>
    </row>
    <row r="67" spans="8:14" x14ac:dyDescent="0.4">
      <c r="H67" s="28">
        <v>64</v>
      </c>
      <c r="I67" s="29" t="s">
        <v>186</v>
      </c>
      <c r="J67" s="29" t="s">
        <v>214</v>
      </c>
      <c r="K67" s="29" t="str">
        <f t="shared" si="0"/>
        <v>QAP</v>
      </c>
      <c r="L67" s="30" t="str">
        <f t="shared" si="1"/>
        <v>p</v>
      </c>
      <c r="N67" s="4">
        <v>4689</v>
      </c>
    </row>
    <row r="68" spans="8:14" x14ac:dyDescent="0.4">
      <c r="H68" s="28">
        <v>65</v>
      </c>
      <c r="I68" s="29" t="s">
        <v>185</v>
      </c>
      <c r="J68" s="29" t="s">
        <v>213</v>
      </c>
      <c r="K68" s="29" t="str">
        <f t="shared" si="0"/>
        <v>QAS</v>
      </c>
      <c r="L68" s="30" t="str">
        <f t="shared" si="1"/>
        <v>p</v>
      </c>
      <c r="N68" s="4">
        <v>4704</v>
      </c>
    </row>
    <row r="69" spans="8:14" x14ac:dyDescent="0.4">
      <c r="H69" s="28">
        <v>66</v>
      </c>
      <c r="I69" s="29" t="s">
        <v>189</v>
      </c>
      <c r="J69" s="29" t="s">
        <v>217</v>
      </c>
      <c r="K69" s="29" t="str">
        <f t="shared" ref="K69:K73" si="2">MID(I69,2,LEN(I69)-1)</f>
        <v>QBP</v>
      </c>
      <c r="L69" s="30" t="str">
        <f t="shared" ref="L69:L73" si="3">LEFT(I69,1)</f>
        <v>p</v>
      </c>
      <c r="N69" s="4">
        <v>4751</v>
      </c>
    </row>
    <row r="70" spans="8:14" x14ac:dyDescent="0.4">
      <c r="H70" s="28">
        <v>67</v>
      </c>
      <c r="I70" s="29" t="s">
        <v>188</v>
      </c>
      <c r="J70" s="29" t="s">
        <v>216</v>
      </c>
      <c r="K70" s="29" t="str">
        <f t="shared" si="2"/>
        <v>QBS</v>
      </c>
      <c r="L70" s="30" t="str">
        <f t="shared" si="3"/>
        <v>p</v>
      </c>
      <c r="N70" s="4">
        <v>4755</v>
      </c>
    </row>
    <row r="71" spans="8:14" x14ac:dyDescent="0.4">
      <c r="H71" s="28">
        <v>68</v>
      </c>
      <c r="I71" s="29" t="s">
        <v>233</v>
      </c>
      <c r="J71" s="29" t="s">
        <v>234</v>
      </c>
      <c r="K71" s="29" t="str">
        <f t="shared" si="2"/>
        <v>QOV</v>
      </c>
      <c r="L71" s="30" t="str">
        <f t="shared" si="3"/>
        <v>p</v>
      </c>
      <c r="N71" s="4">
        <v>4901</v>
      </c>
    </row>
    <row r="72" spans="8:14" x14ac:dyDescent="0.4">
      <c r="H72" s="28">
        <v>69</v>
      </c>
      <c r="I72" s="29" t="s">
        <v>315</v>
      </c>
      <c r="J72" s="29" t="s">
        <v>316</v>
      </c>
      <c r="K72" s="29" t="str">
        <f t="shared" si="2"/>
        <v>QUV</v>
      </c>
      <c r="L72" s="30" t="str">
        <f t="shared" si="3"/>
        <v>p</v>
      </c>
      <c r="N72" s="4">
        <v>4902</v>
      </c>
    </row>
    <row r="73" spans="8:14" ht="19.5" thickBot="1" x14ac:dyDescent="0.45">
      <c r="H73" s="31">
        <v>70</v>
      </c>
      <c r="I73" s="32" t="s">
        <v>317</v>
      </c>
      <c r="J73" s="32" t="s">
        <v>318</v>
      </c>
      <c r="K73" s="32" t="str">
        <f t="shared" si="2"/>
        <v>VWAP</v>
      </c>
      <c r="L73" s="33" t="str">
        <f t="shared" si="3"/>
        <v>p</v>
      </c>
      <c r="N73" s="4">
        <v>4911</v>
      </c>
    </row>
    <row r="74" spans="8:14" ht="19.5" thickTop="1" x14ac:dyDescent="0.4">
      <c r="N74" s="4">
        <v>5019</v>
      </c>
    </row>
    <row r="75" spans="8:14" x14ac:dyDescent="0.4">
      <c r="N75" s="4">
        <v>5020</v>
      </c>
    </row>
    <row r="76" spans="8:14" x14ac:dyDescent="0.4">
      <c r="N76" s="4">
        <v>5101</v>
      </c>
    </row>
    <row r="77" spans="8:14" x14ac:dyDescent="0.4">
      <c r="N77" s="4">
        <v>5108</v>
      </c>
    </row>
    <row r="78" spans="8:14" x14ac:dyDescent="0.4">
      <c r="N78" s="4">
        <v>5201</v>
      </c>
    </row>
    <row r="79" spans="8:14" x14ac:dyDescent="0.4">
      <c r="N79" s="4">
        <v>5202</v>
      </c>
    </row>
    <row r="80" spans="8:14" x14ac:dyDescent="0.4">
      <c r="N80" s="4">
        <v>5214</v>
      </c>
    </row>
    <row r="81" spans="14:14" x14ac:dyDescent="0.4">
      <c r="N81" s="4">
        <v>5232</v>
      </c>
    </row>
    <row r="82" spans="14:14" x14ac:dyDescent="0.4">
      <c r="N82" s="4">
        <v>5233</v>
      </c>
    </row>
    <row r="83" spans="14:14" x14ac:dyDescent="0.4">
      <c r="N83" s="4">
        <v>5301</v>
      </c>
    </row>
    <row r="84" spans="14:14" x14ac:dyDescent="0.4">
      <c r="N84" s="4">
        <v>5332</v>
      </c>
    </row>
    <row r="85" spans="14:14" x14ac:dyDescent="0.4">
      <c r="N85" s="4">
        <v>5333</v>
      </c>
    </row>
    <row r="86" spans="14:14" x14ac:dyDescent="0.4">
      <c r="N86" s="4">
        <v>5401</v>
      </c>
    </row>
    <row r="87" spans="14:14" x14ac:dyDescent="0.4">
      <c r="N87" s="4">
        <v>5406</v>
      </c>
    </row>
    <row r="88" spans="14:14" x14ac:dyDescent="0.4">
      <c r="N88" s="4">
        <v>5411</v>
      </c>
    </row>
    <row r="89" spans="14:14" x14ac:dyDescent="0.4">
      <c r="N89" s="4">
        <v>5541</v>
      </c>
    </row>
    <row r="90" spans="14:14" x14ac:dyDescent="0.4">
      <c r="N90" s="4">
        <v>5631</v>
      </c>
    </row>
    <row r="91" spans="14:14" x14ac:dyDescent="0.4">
      <c r="N91" s="4">
        <v>5703</v>
      </c>
    </row>
    <row r="92" spans="14:14" x14ac:dyDescent="0.4">
      <c r="N92" s="4">
        <v>5706</v>
      </c>
    </row>
    <row r="93" spans="14:14" x14ac:dyDescent="0.4">
      <c r="N93" s="4">
        <v>5707</v>
      </c>
    </row>
    <row r="94" spans="14:14" x14ac:dyDescent="0.4">
      <c r="N94" s="4">
        <v>5711</v>
      </c>
    </row>
    <row r="95" spans="14:14" x14ac:dyDescent="0.4">
      <c r="N95" s="4">
        <v>5713</v>
      </c>
    </row>
    <row r="96" spans="14:14" x14ac:dyDescent="0.4">
      <c r="N96" s="4">
        <v>5714</v>
      </c>
    </row>
    <row r="97" spans="14:14" x14ac:dyDescent="0.4">
      <c r="N97" s="4">
        <v>5801</v>
      </c>
    </row>
    <row r="98" spans="14:14" x14ac:dyDescent="0.4">
      <c r="N98" s="4">
        <v>5802</v>
      </c>
    </row>
    <row r="99" spans="14:14" x14ac:dyDescent="0.4">
      <c r="N99" s="4">
        <v>5803</v>
      </c>
    </row>
    <row r="100" spans="14:14" x14ac:dyDescent="0.4">
      <c r="N100" s="4">
        <v>6098</v>
      </c>
    </row>
    <row r="101" spans="14:14" x14ac:dyDescent="0.4">
      <c r="N101" s="4">
        <v>6103</v>
      </c>
    </row>
    <row r="102" spans="14:14" x14ac:dyDescent="0.4">
      <c r="N102" s="4">
        <v>6113</v>
      </c>
    </row>
    <row r="103" spans="14:14" x14ac:dyDescent="0.4">
      <c r="N103" s="4">
        <v>6178</v>
      </c>
    </row>
    <row r="104" spans="14:14" x14ac:dyDescent="0.4">
      <c r="N104" s="4">
        <v>6301</v>
      </c>
    </row>
    <row r="105" spans="14:14" x14ac:dyDescent="0.4">
      <c r="N105" s="4">
        <v>6302</v>
      </c>
    </row>
    <row r="106" spans="14:14" x14ac:dyDescent="0.4">
      <c r="N106" s="4">
        <v>6305</v>
      </c>
    </row>
    <row r="107" spans="14:14" x14ac:dyDescent="0.4">
      <c r="N107" s="4">
        <v>6326</v>
      </c>
    </row>
    <row r="108" spans="14:14" x14ac:dyDescent="0.4">
      <c r="N108" s="4">
        <v>6361</v>
      </c>
    </row>
    <row r="109" spans="14:14" x14ac:dyDescent="0.4">
      <c r="N109" s="4">
        <v>6367</v>
      </c>
    </row>
    <row r="110" spans="14:14" x14ac:dyDescent="0.4">
      <c r="N110" s="4">
        <v>6471</v>
      </c>
    </row>
    <row r="111" spans="14:14" x14ac:dyDescent="0.4">
      <c r="N111" s="4">
        <v>6472</v>
      </c>
    </row>
    <row r="112" spans="14:14" x14ac:dyDescent="0.4">
      <c r="N112" s="4">
        <v>6473</v>
      </c>
    </row>
    <row r="113" spans="14:14" x14ac:dyDescent="0.4">
      <c r="N113" s="4">
        <v>6479</v>
      </c>
    </row>
    <row r="114" spans="14:14" x14ac:dyDescent="0.4">
      <c r="N114" s="4">
        <v>6501</v>
      </c>
    </row>
    <row r="115" spans="14:14" x14ac:dyDescent="0.4">
      <c r="N115" s="4">
        <v>6503</v>
      </c>
    </row>
    <row r="116" spans="14:14" x14ac:dyDescent="0.4">
      <c r="N116" s="4">
        <v>6504</v>
      </c>
    </row>
    <row r="117" spans="14:14" x14ac:dyDescent="0.4">
      <c r="N117" s="4">
        <v>6506</v>
      </c>
    </row>
    <row r="118" spans="14:14" x14ac:dyDescent="0.4">
      <c r="N118" s="4">
        <v>6645</v>
      </c>
    </row>
    <row r="119" spans="14:14" x14ac:dyDescent="0.4">
      <c r="N119" s="4">
        <v>6674</v>
      </c>
    </row>
    <row r="120" spans="14:14" x14ac:dyDescent="0.4">
      <c r="N120" s="4">
        <v>6701</v>
      </c>
    </row>
    <row r="121" spans="14:14" x14ac:dyDescent="0.4">
      <c r="N121" s="4">
        <v>6702</v>
      </c>
    </row>
    <row r="122" spans="14:14" x14ac:dyDescent="0.4">
      <c r="N122" s="4">
        <v>6703</v>
      </c>
    </row>
    <row r="123" spans="14:14" x14ac:dyDescent="0.4">
      <c r="N123" s="4">
        <v>6724</v>
      </c>
    </row>
    <row r="124" spans="14:14" x14ac:dyDescent="0.4">
      <c r="N124" s="4">
        <v>6752</v>
      </c>
    </row>
    <row r="125" spans="14:14" x14ac:dyDescent="0.4">
      <c r="N125" s="4">
        <v>6753</v>
      </c>
    </row>
    <row r="126" spans="14:14" x14ac:dyDescent="0.4">
      <c r="N126" s="4">
        <v>6758</v>
      </c>
    </row>
    <row r="127" spans="14:14" x14ac:dyDescent="0.4">
      <c r="N127" s="4">
        <v>6762</v>
      </c>
    </row>
    <row r="128" spans="14:14" x14ac:dyDescent="0.4">
      <c r="N128" s="4">
        <v>6770</v>
      </c>
    </row>
    <row r="129" spans="14:14" x14ac:dyDescent="0.4">
      <c r="N129" s="4">
        <v>6841</v>
      </c>
    </row>
    <row r="130" spans="14:14" x14ac:dyDescent="0.4">
      <c r="N130" s="4">
        <v>6857</v>
      </c>
    </row>
    <row r="131" spans="14:14" x14ac:dyDescent="0.4">
      <c r="N131" s="4">
        <v>6861</v>
      </c>
    </row>
    <row r="132" spans="14:14" x14ac:dyDescent="0.4">
      <c r="N132" s="4">
        <v>6902</v>
      </c>
    </row>
    <row r="133" spans="14:14" x14ac:dyDescent="0.4">
      <c r="N133" s="4">
        <v>6952</v>
      </c>
    </row>
    <row r="134" spans="14:14" x14ac:dyDescent="0.4">
      <c r="N134" s="4">
        <v>6954</v>
      </c>
    </row>
    <row r="135" spans="14:14" x14ac:dyDescent="0.4">
      <c r="N135" s="4">
        <v>6971</v>
      </c>
    </row>
    <row r="136" spans="14:14" x14ac:dyDescent="0.4">
      <c r="N136" s="4">
        <v>6976</v>
      </c>
    </row>
    <row r="137" spans="14:14" x14ac:dyDescent="0.4">
      <c r="N137" s="4">
        <v>6981</v>
      </c>
    </row>
    <row r="138" spans="14:14" x14ac:dyDescent="0.4">
      <c r="N138" s="4">
        <v>6988</v>
      </c>
    </row>
    <row r="139" spans="14:14" x14ac:dyDescent="0.4">
      <c r="N139" s="4">
        <v>7003</v>
      </c>
    </row>
    <row r="140" spans="14:14" x14ac:dyDescent="0.4">
      <c r="N140" s="4">
        <v>7004</v>
      </c>
    </row>
    <row r="141" spans="14:14" x14ac:dyDescent="0.4">
      <c r="N141" s="4">
        <v>7011</v>
      </c>
    </row>
    <row r="142" spans="14:14" x14ac:dyDescent="0.4">
      <c r="N142" s="4">
        <v>7012</v>
      </c>
    </row>
    <row r="143" spans="14:14" x14ac:dyDescent="0.4">
      <c r="N143" s="4">
        <v>7013</v>
      </c>
    </row>
    <row r="144" spans="14:14" x14ac:dyDescent="0.4">
      <c r="N144" s="4">
        <v>7186</v>
      </c>
    </row>
    <row r="145" spans="14:14" x14ac:dyDescent="0.4">
      <c r="N145" s="4">
        <v>7201</v>
      </c>
    </row>
    <row r="146" spans="14:14" x14ac:dyDescent="0.4">
      <c r="N146" s="4">
        <v>7202</v>
      </c>
    </row>
    <row r="147" spans="14:14" x14ac:dyDescent="0.4">
      <c r="N147" s="4">
        <v>7203</v>
      </c>
    </row>
    <row r="148" spans="14:14" x14ac:dyDescent="0.4">
      <c r="N148" s="4">
        <v>7205</v>
      </c>
    </row>
    <row r="149" spans="14:14" x14ac:dyDescent="0.4">
      <c r="N149" s="4">
        <v>7211</v>
      </c>
    </row>
    <row r="150" spans="14:14" x14ac:dyDescent="0.4">
      <c r="N150" s="4">
        <v>7261</v>
      </c>
    </row>
    <row r="151" spans="14:14" x14ac:dyDescent="0.4">
      <c r="N151" s="4">
        <v>7267</v>
      </c>
    </row>
    <row r="152" spans="14:14" x14ac:dyDescent="0.4">
      <c r="N152" s="4">
        <v>7269</v>
      </c>
    </row>
    <row r="153" spans="14:14" x14ac:dyDescent="0.4">
      <c r="N153" s="4">
        <v>7270</v>
      </c>
    </row>
    <row r="154" spans="14:14" x14ac:dyDescent="0.4">
      <c r="N154" s="4">
        <v>7272</v>
      </c>
    </row>
    <row r="155" spans="14:14" x14ac:dyDescent="0.4">
      <c r="N155" s="4">
        <v>7731</v>
      </c>
    </row>
    <row r="156" spans="14:14" x14ac:dyDescent="0.4">
      <c r="N156" s="4">
        <v>7733</v>
      </c>
    </row>
    <row r="157" spans="14:14" x14ac:dyDescent="0.4">
      <c r="N157" s="4">
        <v>7735</v>
      </c>
    </row>
    <row r="158" spans="14:14" x14ac:dyDescent="0.4">
      <c r="N158" s="4">
        <v>7751</v>
      </c>
    </row>
    <row r="159" spans="14:14" x14ac:dyDescent="0.4">
      <c r="N159" s="4">
        <v>7752</v>
      </c>
    </row>
    <row r="160" spans="14:14" x14ac:dyDescent="0.4">
      <c r="N160" s="4">
        <v>7762</v>
      </c>
    </row>
    <row r="161" spans="14:14" x14ac:dyDescent="0.4">
      <c r="N161" s="4">
        <v>7832</v>
      </c>
    </row>
    <row r="162" spans="14:14" x14ac:dyDescent="0.4">
      <c r="N162" s="4">
        <v>7911</v>
      </c>
    </row>
    <row r="163" spans="14:14" x14ac:dyDescent="0.4">
      <c r="N163" s="4">
        <v>7912</v>
      </c>
    </row>
    <row r="164" spans="14:14" x14ac:dyDescent="0.4">
      <c r="N164" s="4">
        <v>7951</v>
      </c>
    </row>
    <row r="165" spans="14:14" x14ac:dyDescent="0.4">
      <c r="N165" s="4">
        <v>7974</v>
      </c>
    </row>
    <row r="166" spans="14:14" x14ac:dyDescent="0.4">
      <c r="N166" s="4">
        <v>8001</v>
      </c>
    </row>
    <row r="167" spans="14:14" x14ac:dyDescent="0.4">
      <c r="N167" s="4">
        <v>8002</v>
      </c>
    </row>
    <row r="168" spans="14:14" x14ac:dyDescent="0.4">
      <c r="N168" s="4">
        <v>8015</v>
      </c>
    </row>
    <row r="169" spans="14:14" x14ac:dyDescent="0.4">
      <c r="N169" s="4">
        <v>8031</v>
      </c>
    </row>
    <row r="170" spans="14:14" x14ac:dyDescent="0.4">
      <c r="N170" s="4">
        <v>8035</v>
      </c>
    </row>
    <row r="171" spans="14:14" x14ac:dyDescent="0.4">
      <c r="N171" s="4">
        <v>8053</v>
      </c>
    </row>
    <row r="172" spans="14:14" x14ac:dyDescent="0.4">
      <c r="N172" s="4">
        <v>8058</v>
      </c>
    </row>
    <row r="173" spans="14:14" x14ac:dyDescent="0.4">
      <c r="N173" s="4">
        <v>8233</v>
      </c>
    </row>
    <row r="174" spans="14:14" x14ac:dyDescent="0.4">
      <c r="N174" s="4">
        <v>8252</v>
      </c>
    </row>
    <row r="175" spans="14:14" x14ac:dyDescent="0.4">
      <c r="N175" s="4">
        <v>8253</v>
      </c>
    </row>
    <row r="176" spans="14:14" x14ac:dyDescent="0.4">
      <c r="N176" s="4">
        <v>8267</v>
      </c>
    </row>
    <row r="177" spans="14:14" x14ac:dyDescent="0.4">
      <c r="N177" s="4">
        <v>8304</v>
      </c>
    </row>
    <row r="178" spans="14:14" x14ac:dyDescent="0.4">
      <c r="N178" s="4">
        <v>8306</v>
      </c>
    </row>
    <row r="179" spans="14:14" x14ac:dyDescent="0.4">
      <c r="N179" s="4">
        <v>8308</v>
      </c>
    </row>
    <row r="180" spans="14:14" x14ac:dyDescent="0.4">
      <c r="N180" s="4">
        <v>8309</v>
      </c>
    </row>
    <row r="181" spans="14:14" x14ac:dyDescent="0.4">
      <c r="N181" s="4">
        <v>8316</v>
      </c>
    </row>
    <row r="182" spans="14:14" x14ac:dyDescent="0.4">
      <c r="N182" s="4">
        <v>8331</v>
      </c>
    </row>
    <row r="183" spans="14:14" x14ac:dyDescent="0.4">
      <c r="N183" s="4">
        <v>8354</v>
      </c>
    </row>
    <row r="184" spans="14:14" x14ac:dyDescent="0.4">
      <c r="N184" s="4">
        <v>5831</v>
      </c>
    </row>
    <row r="185" spans="14:14" x14ac:dyDescent="0.4">
      <c r="N185" s="4">
        <v>8411</v>
      </c>
    </row>
    <row r="186" spans="14:14" x14ac:dyDescent="0.4">
      <c r="N186" s="4">
        <v>8591</v>
      </c>
    </row>
    <row r="187" spans="14:14" x14ac:dyDescent="0.4">
      <c r="N187" s="4">
        <v>8601</v>
      </c>
    </row>
    <row r="188" spans="14:14" x14ac:dyDescent="0.4">
      <c r="N188" s="4">
        <v>8604</v>
      </c>
    </row>
    <row r="189" spans="14:14" x14ac:dyDescent="0.4">
      <c r="N189" s="4">
        <v>8628</v>
      </c>
    </row>
    <row r="190" spans="14:14" x14ac:dyDescent="0.4">
      <c r="N190" s="4">
        <v>8630</v>
      </c>
    </row>
    <row r="191" spans="14:14" x14ac:dyDescent="0.4">
      <c r="N191" s="4">
        <v>8697</v>
      </c>
    </row>
    <row r="192" spans="14:14" x14ac:dyDescent="0.4">
      <c r="N192" s="4">
        <v>8725</v>
      </c>
    </row>
    <row r="193" spans="14:14" x14ac:dyDescent="0.4">
      <c r="N193" s="4">
        <v>8750</v>
      </c>
    </row>
    <row r="194" spans="14:14" x14ac:dyDescent="0.4">
      <c r="N194" s="4">
        <v>8766</v>
      </c>
    </row>
    <row r="195" spans="14:14" x14ac:dyDescent="0.4">
      <c r="N195" s="4">
        <v>8795</v>
      </c>
    </row>
    <row r="196" spans="14:14" x14ac:dyDescent="0.4">
      <c r="N196" s="4">
        <v>8801</v>
      </c>
    </row>
    <row r="197" spans="14:14" x14ac:dyDescent="0.4">
      <c r="N197" s="4">
        <v>8802</v>
      </c>
    </row>
    <row r="198" spans="14:14" x14ac:dyDescent="0.4">
      <c r="N198" s="4">
        <v>8804</v>
      </c>
    </row>
    <row r="199" spans="14:14" x14ac:dyDescent="0.4">
      <c r="N199" s="4">
        <v>8830</v>
      </c>
    </row>
    <row r="200" spans="14:14" x14ac:dyDescent="0.4">
      <c r="N200" s="4">
        <v>9001</v>
      </c>
    </row>
    <row r="201" spans="14:14" x14ac:dyDescent="0.4">
      <c r="N201" s="4">
        <v>9005</v>
      </c>
    </row>
    <row r="202" spans="14:14" x14ac:dyDescent="0.4">
      <c r="N202" s="4">
        <v>9007</v>
      </c>
    </row>
    <row r="203" spans="14:14" x14ac:dyDescent="0.4">
      <c r="N203" s="4">
        <v>9008</v>
      </c>
    </row>
    <row r="204" spans="14:14" x14ac:dyDescent="0.4">
      <c r="N204" s="4">
        <v>9009</v>
      </c>
    </row>
    <row r="205" spans="14:14" x14ac:dyDescent="0.4">
      <c r="N205" s="4">
        <v>9020</v>
      </c>
    </row>
    <row r="206" spans="14:14" x14ac:dyDescent="0.4">
      <c r="N206" s="4">
        <v>9021</v>
      </c>
    </row>
    <row r="207" spans="14:14" x14ac:dyDescent="0.4">
      <c r="N207" s="4">
        <v>9022</v>
      </c>
    </row>
    <row r="208" spans="14:14" x14ac:dyDescent="0.4">
      <c r="N208" s="4">
        <v>9064</v>
      </c>
    </row>
    <row r="209" spans="14:14" x14ac:dyDescent="0.4">
      <c r="N209" s="4">
        <v>9101</v>
      </c>
    </row>
    <row r="210" spans="14:14" x14ac:dyDescent="0.4">
      <c r="N210" s="4">
        <v>9104</v>
      </c>
    </row>
    <row r="211" spans="14:14" x14ac:dyDescent="0.4">
      <c r="N211" s="4">
        <v>9107</v>
      </c>
    </row>
    <row r="212" spans="14:14" x14ac:dyDescent="0.4">
      <c r="N212" s="4">
        <v>9147</v>
      </c>
    </row>
    <row r="213" spans="14:14" x14ac:dyDescent="0.4">
      <c r="N213" s="4">
        <v>9202</v>
      </c>
    </row>
    <row r="214" spans="14:14" x14ac:dyDescent="0.4">
      <c r="N214" s="4">
        <v>9301</v>
      </c>
    </row>
    <row r="215" spans="14:14" x14ac:dyDescent="0.4">
      <c r="N215" s="4">
        <v>9432</v>
      </c>
    </row>
    <row r="216" spans="14:14" x14ac:dyDescent="0.4">
      <c r="N216" s="4">
        <v>9433</v>
      </c>
    </row>
    <row r="217" spans="14:14" x14ac:dyDescent="0.4">
      <c r="N217" s="4">
        <v>9434</v>
      </c>
    </row>
    <row r="218" spans="14:14" x14ac:dyDescent="0.4">
      <c r="N218" s="4">
        <v>9501</v>
      </c>
    </row>
    <row r="219" spans="14:14" x14ac:dyDescent="0.4">
      <c r="N219" s="4">
        <v>9502</v>
      </c>
    </row>
    <row r="220" spans="14:14" x14ac:dyDescent="0.4">
      <c r="N220" s="4">
        <v>9503</v>
      </c>
    </row>
    <row r="221" spans="14:14" x14ac:dyDescent="0.4">
      <c r="N221" s="4">
        <v>9531</v>
      </c>
    </row>
    <row r="222" spans="14:14" x14ac:dyDescent="0.4">
      <c r="N222" s="4">
        <v>9532</v>
      </c>
    </row>
    <row r="223" spans="14:14" x14ac:dyDescent="0.4">
      <c r="N223" s="4">
        <v>9602</v>
      </c>
    </row>
    <row r="224" spans="14:14" x14ac:dyDescent="0.4">
      <c r="N224" s="4">
        <v>9613</v>
      </c>
    </row>
    <row r="225" spans="14:14" x14ac:dyDescent="0.4">
      <c r="N225" s="4">
        <v>9735</v>
      </c>
    </row>
    <row r="226" spans="14:14" x14ac:dyDescent="0.4">
      <c r="N226" s="4">
        <v>9766</v>
      </c>
    </row>
    <row r="227" spans="14:14" x14ac:dyDescent="0.4">
      <c r="N227" s="4">
        <v>9983</v>
      </c>
    </row>
    <row r="228" spans="14:14" x14ac:dyDescent="0.4">
      <c r="N228" s="4">
        <v>9984</v>
      </c>
    </row>
  </sheetData>
  <sortState ref="P49:V68">
    <sortCondition ref="T51:T70"/>
    <sortCondition ref="V51:V70"/>
    <sortCondition descending="1" ref="U51:U70"/>
  </sortState>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get_CLMMfdsGetMarketPrice">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10242" r:id="rId4" name="Button 2">
              <controlPr defaultSize="0" print="0" autoFill="0" autoPict="0" macro="[0]!get_CLMMfdsGetMarketPriceHistory">
                <anchor moveWithCells="1" sizeWithCells="1">
                  <from>
                    <xdr:col>1</xdr:col>
                    <xdr:colOff>142875</xdr:colOff>
                    <xdr:row>2</xdr:row>
                    <xdr:rowOff>123825</xdr:rowOff>
                  </from>
                  <to>
                    <xdr:col>1</xdr:col>
                    <xdr:colOff>1819275</xdr:colOff>
                    <xdr:row>2</xdr:row>
                    <xdr:rowOff>457200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X23"/>
  <sheetViews>
    <sheetView workbookViewId="0"/>
  </sheetViews>
  <sheetFormatPr defaultRowHeight="18.75" x14ac:dyDescent="0.4"/>
  <cols>
    <col min="1" max="1" width="19.875" bestFit="1" customWidth="1"/>
    <col min="2" max="2" width="27.25" customWidth="1"/>
    <col min="3" max="3" width="13.875" customWidth="1"/>
    <col min="6" max="6" width="28.375" customWidth="1"/>
    <col min="7" max="7" width="16.875" customWidth="1"/>
    <col min="10" max="10" width="28.625" customWidth="1"/>
    <col min="14" max="14" width="28.625" customWidth="1"/>
    <col min="15" max="15" width="13.125" customWidth="1"/>
    <col min="18" max="18" width="31.75" customWidth="1"/>
    <col min="22" max="22" width="29" customWidth="1"/>
    <col min="26" max="26" width="31.75" customWidth="1"/>
    <col min="30" max="30" width="31.75" customWidth="1"/>
    <col min="34" max="34" width="31.75" customWidth="1"/>
    <col min="38" max="38" width="31.75" customWidth="1"/>
    <col min="40" max="40" width="9" customWidth="1"/>
    <col min="42" max="42" width="31.75" customWidth="1"/>
    <col min="46" max="46" width="31.75" customWidth="1"/>
    <col min="50" max="50" width="31.75" customWidth="1"/>
  </cols>
  <sheetData>
    <row r="1" spans="1:50" s="11" customFormat="1" ht="21" customHeight="1" x14ac:dyDescent="0.4">
      <c r="A1" s="11" t="s">
        <v>71</v>
      </c>
      <c r="B1" s="11" t="s">
        <v>470</v>
      </c>
      <c r="F1" s="11" t="s">
        <v>471</v>
      </c>
      <c r="J1" s="11" t="s">
        <v>472</v>
      </c>
      <c r="N1" s="11" t="s">
        <v>473</v>
      </c>
      <c r="R1" s="11" t="s">
        <v>484</v>
      </c>
      <c r="V1" s="11" t="s">
        <v>486</v>
      </c>
      <c r="Z1" s="11" t="s">
        <v>488</v>
      </c>
      <c r="AD1" s="11" t="s">
        <v>490</v>
      </c>
      <c r="AH1" s="11" t="s">
        <v>492</v>
      </c>
      <c r="AL1" s="11" t="s">
        <v>494</v>
      </c>
      <c r="AP1" s="11" t="s">
        <v>496</v>
      </c>
      <c r="AT1" s="11" t="s">
        <v>498</v>
      </c>
      <c r="AX1" s="11" t="s">
        <v>500</v>
      </c>
    </row>
    <row r="2" spans="1:50" s="11" customFormat="1" ht="21" customHeight="1" x14ac:dyDescent="0.4">
      <c r="A2" s="11" t="s">
        <v>72</v>
      </c>
      <c r="B2" s="15" t="s">
        <v>477</v>
      </c>
      <c r="F2" s="15" t="s">
        <v>479</v>
      </c>
      <c r="J2" s="15" t="s">
        <v>481</v>
      </c>
      <c r="N2" s="15" t="s">
        <v>483</v>
      </c>
      <c r="R2" s="15" t="s">
        <v>485</v>
      </c>
      <c r="V2" s="15" t="s">
        <v>487</v>
      </c>
      <c r="Z2" s="15" t="s">
        <v>489</v>
      </c>
      <c r="AD2" s="15" t="s">
        <v>491</v>
      </c>
      <c r="AH2" s="15" t="s">
        <v>493</v>
      </c>
      <c r="AL2" s="15" t="s">
        <v>495</v>
      </c>
      <c r="AP2" s="15" t="s">
        <v>497</v>
      </c>
      <c r="AT2" s="15" t="s">
        <v>499</v>
      </c>
      <c r="AX2" s="15" t="s">
        <v>501</v>
      </c>
    </row>
    <row r="3" spans="1:50" ht="63" customHeight="1" x14ac:dyDescent="0.4"/>
    <row r="5" spans="1:50" x14ac:dyDescent="0.4">
      <c r="A5" s="36" t="s">
        <v>441</v>
      </c>
    </row>
    <row r="6" spans="1:50" x14ac:dyDescent="0.4">
      <c r="A6" s="36" t="s">
        <v>440</v>
      </c>
    </row>
    <row r="16" spans="1:50" x14ac:dyDescent="0.4">
      <c r="B16" t="s">
        <v>365</v>
      </c>
      <c r="F16" t="s">
        <v>365</v>
      </c>
      <c r="J16" t="s">
        <v>365</v>
      </c>
      <c r="N16" t="s">
        <v>365</v>
      </c>
      <c r="R16" t="s">
        <v>365</v>
      </c>
      <c r="V16" t="s">
        <v>365</v>
      </c>
      <c r="Z16" t="s">
        <v>365</v>
      </c>
      <c r="AD16" t="s">
        <v>365</v>
      </c>
      <c r="AH16" t="s">
        <v>365</v>
      </c>
      <c r="AL16" t="s">
        <v>365</v>
      </c>
      <c r="AP16" t="s">
        <v>365</v>
      </c>
      <c r="AT16" t="s">
        <v>365</v>
      </c>
      <c r="AX16" t="s">
        <v>365</v>
      </c>
    </row>
    <row r="17" spans="1:50" x14ac:dyDescent="0.4">
      <c r="A17" t="s">
        <v>539</v>
      </c>
      <c r="B17" s="8">
        <v>2</v>
      </c>
      <c r="E17" t="s">
        <v>359</v>
      </c>
      <c r="F17" s="8">
        <v>23</v>
      </c>
      <c r="I17" t="s">
        <v>359</v>
      </c>
      <c r="J17" s="8">
        <v>24</v>
      </c>
      <c r="M17" t="s">
        <v>511</v>
      </c>
      <c r="N17" s="8">
        <v>25</v>
      </c>
      <c r="Q17" t="s">
        <v>359</v>
      </c>
      <c r="R17" s="8">
        <v>26</v>
      </c>
      <c r="U17" t="s">
        <v>518</v>
      </c>
      <c r="V17" s="8">
        <v>27</v>
      </c>
      <c r="Y17" t="s">
        <v>359</v>
      </c>
      <c r="Z17" s="8">
        <v>3</v>
      </c>
      <c r="AC17" t="s">
        <v>359</v>
      </c>
      <c r="AD17" s="8">
        <v>4</v>
      </c>
      <c r="AG17" t="s">
        <v>455</v>
      </c>
      <c r="AH17" s="8">
        <v>30</v>
      </c>
      <c r="AK17" t="s">
        <v>359</v>
      </c>
      <c r="AL17" s="8">
        <v>31</v>
      </c>
      <c r="AO17" t="s">
        <v>359</v>
      </c>
      <c r="AP17" s="8">
        <v>32</v>
      </c>
      <c r="AS17" t="s">
        <v>359</v>
      </c>
      <c r="AT17" s="8">
        <v>33</v>
      </c>
      <c r="AW17" t="s">
        <v>359</v>
      </c>
      <c r="AX17" s="8">
        <v>34</v>
      </c>
    </row>
    <row r="18" spans="1:50" x14ac:dyDescent="0.4">
      <c r="A18" t="s">
        <v>379</v>
      </c>
      <c r="B18" s="13" t="s">
        <v>538</v>
      </c>
      <c r="E18" t="s">
        <v>503</v>
      </c>
      <c r="F18" s="13" t="s">
        <v>502</v>
      </c>
      <c r="I18" t="s">
        <v>379</v>
      </c>
      <c r="J18" s="13" t="s">
        <v>506</v>
      </c>
      <c r="M18" t="s">
        <v>379</v>
      </c>
      <c r="N18" s="13" t="s">
        <v>510</v>
      </c>
      <c r="Q18" t="s">
        <v>379</v>
      </c>
      <c r="R18" s="13" t="s">
        <v>515</v>
      </c>
      <c r="U18" t="s">
        <v>379</v>
      </c>
      <c r="V18" s="13" t="s">
        <v>517</v>
      </c>
      <c r="Y18" t="s">
        <v>379</v>
      </c>
      <c r="Z18" s="13" t="s">
        <v>543</v>
      </c>
      <c r="AC18" t="s">
        <v>546</v>
      </c>
      <c r="AD18" s="13" t="s">
        <v>545</v>
      </c>
      <c r="AG18" t="s">
        <v>379</v>
      </c>
      <c r="AH18" s="13" t="s">
        <v>520</v>
      </c>
      <c r="AK18" t="s">
        <v>379</v>
      </c>
      <c r="AL18" s="13" t="s">
        <v>523</v>
      </c>
      <c r="AO18" t="s">
        <v>379</v>
      </c>
      <c r="AP18" s="13" t="s">
        <v>526</v>
      </c>
      <c r="AS18" t="s">
        <v>379</v>
      </c>
      <c r="AT18" s="13" t="s">
        <v>529</v>
      </c>
      <c r="AW18" t="s">
        <v>379</v>
      </c>
      <c r="AX18" s="13" t="s">
        <v>531</v>
      </c>
    </row>
    <row r="19" spans="1:50" x14ac:dyDescent="0.4">
      <c r="A19" t="s">
        <v>540</v>
      </c>
      <c r="B19" s="14" t="s">
        <v>456</v>
      </c>
      <c r="E19" t="s">
        <v>369</v>
      </c>
      <c r="F19" s="14" t="s">
        <v>457</v>
      </c>
      <c r="I19" t="s">
        <v>369</v>
      </c>
      <c r="J19" s="14" t="s">
        <v>458</v>
      </c>
      <c r="M19" t="s">
        <v>369</v>
      </c>
      <c r="N19" s="14" t="s">
        <v>509</v>
      </c>
      <c r="Q19" t="s">
        <v>369</v>
      </c>
      <c r="R19" s="14" t="s">
        <v>459</v>
      </c>
      <c r="U19" t="s">
        <v>369</v>
      </c>
      <c r="V19" s="14" t="s">
        <v>463</v>
      </c>
      <c r="Y19" t="s">
        <v>369</v>
      </c>
      <c r="Z19" s="14" t="s">
        <v>464</v>
      </c>
      <c r="AC19" t="s">
        <v>369</v>
      </c>
      <c r="AD19" s="14" t="s">
        <v>465</v>
      </c>
      <c r="AG19" t="s">
        <v>521</v>
      </c>
      <c r="AH19" s="14" t="s">
        <v>519</v>
      </c>
      <c r="AK19" t="s">
        <v>369</v>
      </c>
      <c r="AL19" s="14" t="s">
        <v>466</v>
      </c>
      <c r="AO19" t="s">
        <v>369</v>
      </c>
      <c r="AP19" s="14" t="s">
        <v>467</v>
      </c>
      <c r="AS19" t="s">
        <v>369</v>
      </c>
      <c r="AT19" s="14" t="s">
        <v>468</v>
      </c>
      <c r="AW19" t="s">
        <v>532</v>
      </c>
      <c r="AX19" s="14" t="s">
        <v>469</v>
      </c>
    </row>
    <row r="20" spans="1:50" x14ac:dyDescent="0.4">
      <c r="A20" t="s">
        <v>541</v>
      </c>
      <c r="B20" s="14">
        <v>0</v>
      </c>
      <c r="E20" t="s">
        <v>370</v>
      </c>
      <c r="F20" s="14">
        <v>0</v>
      </c>
      <c r="I20" t="s">
        <v>507</v>
      </c>
      <c r="J20" s="14">
        <v>0</v>
      </c>
      <c r="M20" t="s">
        <v>370</v>
      </c>
      <c r="N20" s="14">
        <v>0</v>
      </c>
      <c r="Q20" t="s">
        <v>370</v>
      </c>
      <c r="R20" s="14">
        <v>0</v>
      </c>
      <c r="U20" t="s">
        <v>370</v>
      </c>
      <c r="V20" s="14">
        <v>0</v>
      </c>
      <c r="Y20" t="s">
        <v>370</v>
      </c>
      <c r="Z20" s="14">
        <v>0</v>
      </c>
      <c r="AC20" t="s">
        <v>370</v>
      </c>
      <c r="AD20" s="14">
        <v>0</v>
      </c>
      <c r="AG20" t="s">
        <v>370</v>
      </c>
      <c r="AH20" s="14">
        <v>0</v>
      </c>
      <c r="AK20" t="s">
        <v>524</v>
      </c>
      <c r="AL20" s="14">
        <v>0</v>
      </c>
      <c r="AO20" t="s">
        <v>370</v>
      </c>
      <c r="AP20" s="14">
        <v>0</v>
      </c>
      <c r="AS20" t="s">
        <v>370</v>
      </c>
      <c r="AT20" s="14">
        <v>0</v>
      </c>
      <c r="AW20" t="s">
        <v>533</v>
      </c>
      <c r="AX20" s="14">
        <v>0</v>
      </c>
    </row>
    <row r="21" spans="1:50" x14ac:dyDescent="0.4">
      <c r="A21" t="s">
        <v>364</v>
      </c>
      <c r="B21" s="14"/>
      <c r="E21" t="s">
        <v>504</v>
      </c>
      <c r="F21" s="14"/>
      <c r="I21" t="s">
        <v>364</v>
      </c>
      <c r="J21" s="14"/>
      <c r="M21" t="s">
        <v>512</v>
      </c>
      <c r="N21" s="14"/>
      <c r="Q21" t="s">
        <v>516</v>
      </c>
      <c r="R21" s="14"/>
      <c r="U21" t="s">
        <v>460</v>
      </c>
      <c r="V21" s="14"/>
      <c r="Y21" t="s">
        <v>460</v>
      </c>
      <c r="Z21" s="14"/>
      <c r="AC21" t="s">
        <v>547</v>
      </c>
      <c r="AD21" s="14"/>
      <c r="AG21" t="s">
        <v>460</v>
      </c>
      <c r="AH21" s="14"/>
      <c r="AK21" t="s">
        <v>460</v>
      </c>
      <c r="AL21" s="14"/>
      <c r="AO21" t="s">
        <v>516</v>
      </c>
      <c r="AP21" s="14"/>
      <c r="AS21" t="s">
        <v>460</v>
      </c>
      <c r="AT21" s="14"/>
      <c r="AW21" t="s">
        <v>460</v>
      </c>
      <c r="AX21" s="14"/>
    </row>
    <row r="22" spans="1:50" x14ac:dyDescent="0.4">
      <c r="A22" t="s">
        <v>371</v>
      </c>
      <c r="B22" s="14"/>
      <c r="E22" t="s">
        <v>371</v>
      </c>
      <c r="F22" s="14"/>
      <c r="I22" t="s">
        <v>371</v>
      </c>
      <c r="J22" s="14"/>
      <c r="M22" t="s">
        <v>513</v>
      </c>
      <c r="N22" s="14"/>
      <c r="Q22" t="s">
        <v>461</v>
      </c>
      <c r="R22" s="14"/>
      <c r="U22" t="s">
        <v>513</v>
      </c>
      <c r="V22" s="14"/>
      <c r="Y22" t="s">
        <v>461</v>
      </c>
      <c r="Z22" s="14"/>
      <c r="AC22" t="s">
        <v>548</v>
      </c>
      <c r="AD22" s="14"/>
      <c r="AG22" t="s">
        <v>522</v>
      </c>
      <c r="AH22" s="14"/>
      <c r="AK22" t="s">
        <v>461</v>
      </c>
      <c r="AL22" s="14"/>
      <c r="AO22" t="s">
        <v>527</v>
      </c>
      <c r="AP22" s="14"/>
      <c r="AS22" t="s">
        <v>530</v>
      </c>
      <c r="AT22" s="14"/>
      <c r="AW22" t="s">
        <v>534</v>
      </c>
      <c r="AX22" s="14"/>
    </row>
    <row r="23" spans="1:50" x14ac:dyDescent="0.4">
      <c r="A23" t="s">
        <v>542</v>
      </c>
      <c r="B23" s="14"/>
      <c r="E23" t="s">
        <v>505</v>
      </c>
      <c r="F23" s="14"/>
      <c r="I23" t="s">
        <v>508</v>
      </c>
      <c r="J23" s="14"/>
      <c r="M23" t="s">
        <v>514</v>
      </c>
      <c r="N23" s="14"/>
      <c r="Q23" t="s">
        <v>462</v>
      </c>
      <c r="R23" s="14"/>
      <c r="U23" t="s">
        <v>514</v>
      </c>
      <c r="V23" s="14"/>
      <c r="Y23" t="s">
        <v>544</v>
      </c>
      <c r="Z23" s="14"/>
      <c r="AC23" t="s">
        <v>549</v>
      </c>
      <c r="AD23" s="14"/>
      <c r="AG23" t="s">
        <v>462</v>
      </c>
      <c r="AH23" s="14"/>
      <c r="AK23" t="s">
        <v>525</v>
      </c>
      <c r="AL23" s="14"/>
      <c r="AO23" t="s">
        <v>528</v>
      </c>
      <c r="AP23" s="14"/>
      <c r="AS23" t="s">
        <v>462</v>
      </c>
      <c r="AT23" s="14"/>
      <c r="AW23" t="s">
        <v>462</v>
      </c>
      <c r="AX23" s="14"/>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get_master_1_CLMStkGetIssueMstKabu">
                <anchor moveWithCells="1" sizeWithCells="1">
                  <from>
                    <xdr:col>1</xdr:col>
                    <xdr:colOff>47625</xdr:colOff>
                    <xdr:row>2</xdr:row>
                    <xdr:rowOff>95250</xdr:rowOff>
                  </from>
                  <to>
                    <xdr:col>1</xdr:col>
                    <xdr:colOff>2028825</xdr:colOff>
                    <xdr:row>2</xdr:row>
                    <xdr:rowOff>733425</xdr:rowOff>
                  </to>
                </anchor>
              </controlPr>
            </control>
          </mc:Choice>
        </mc:AlternateContent>
        <mc:AlternateContent xmlns:mc="http://schemas.openxmlformats.org/markup-compatibility/2006">
          <mc:Choice Requires="x14">
            <control shapeId="15363" r:id="rId4" name="Button 3">
              <controlPr defaultSize="0" print="0" autoFill="0" autoPict="0" macro="[0]!get_master_2_CLMStkGetIssueSizyouMstKabu">
                <anchor moveWithCells="1" sizeWithCells="1">
                  <from>
                    <xdr:col>5</xdr:col>
                    <xdr:colOff>9525</xdr:colOff>
                    <xdr:row>2</xdr:row>
                    <xdr:rowOff>95250</xdr:rowOff>
                  </from>
                  <to>
                    <xdr:col>6</xdr:col>
                    <xdr:colOff>9525</xdr:colOff>
                    <xdr:row>2</xdr:row>
                    <xdr:rowOff>733425</xdr:rowOff>
                  </to>
                </anchor>
              </controlPr>
            </control>
          </mc:Choice>
        </mc:AlternateContent>
        <mc:AlternateContent xmlns:mc="http://schemas.openxmlformats.org/markup-compatibility/2006">
          <mc:Choice Requires="x14">
            <control shapeId="15365" r:id="rId5" name="Button 5">
              <controlPr defaultSize="0" print="0" autoFill="0" autoPict="0" macro="[0]!get_master_3_CLMStkGetIssueMstSak">
                <anchor moveWithCells="1" sizeWithCells="1">
                  <from>
                    <xdr:col>9</xdr:col>
                    <xdr:colOff>47625</xdr:colOff>
                    <xdr:row>2</xdr:row>
                    <xdr:rowOff>95250</xdr:rowOff>
                  </from>
                  <to>
                    <xdr:col>9</xdr:col>
                    <xdr:colOff>2028825</xdr:colOff>
                    <xdr:row>2</xdr:row>
                    <xdr:rowOff>733425</xdr:rowOff>
                  </to>
                </anchor>
              </controlPr>
            </control>
          </mc:Choice>
        </mc:AlternateContent>
        <mc:AlternateContent xmlns:mc="http://schemas.openxmlformats.org/markup-compatibility/2006">
          <mc:Choice Requires="x14">
            <control shapeId="15366" r:id="rId6" name="Button 6">
              <controlPr defaultSize="0" print="0" autoFill="0" autoPict="0" macro="[0]!get_master_4_CLMStkGetIssueMstOp">
                <anchor moveWithCells="1" sizeWithCells="1">
                  <from>
                    <xdr:col>13</xdr:col>
                    <xdr:colOff>47625</xdr:colOff>
                    <xdr:row>2</xdr:row>
                    <xdr:rowOff>95250</xdr:rowOff>
                  </from>
                  <to>
                    <xdr:col>13</xdr:col>
                    <xdr:colOff>2028825</xdr:colOff>
                    <xdr:row>2</xdr:row>
                    <xdr:rowOff>733425</xdr:rowOff>
                  </to>
                </anchor>
              </controlPr>
            </control>
          </mc:Choice>
        </mc:AlternateContent>
        <mc:AlternateContent xmlns:mc="http://schemas.openxmlformats.org/markup-compatibility/2006">
          <mc:Choice Requires="x14">
            <control shapeId="15372" r:id="rId7" name="Button 12">
              <controlPr defaultSize="0" print="0" autoFill="0" autoPict="0" macro="[0]!get_master_6_CLMStkGetIssueMstFx">
                <anchor moveWithCells="1" sizeWithCells="1">
                  <from>
                    <xdr:col>21</xdr:col>
                    <xdr:colOff>47625</xdr:colOff>
                    <xdr:row>2</xdr:row>
                    <xdr:rowOff>76200</xdr:rowOff>
                  </from>
                  <to>
                    <xdr:col>21</xdr:col>
                    <xdr:colOff>1847850</xdr:colOff>
                    <xdr:row>2</xdr:row>
                    <xdr:rowOff>714375</xdr:rowOff>
                  </to>
                </anchor>
              </controlPr>
            </control>
          </mc:Choice>
        </mc:AlternateContent>
        <mc:AlternateContent xmlns:mc="http://schemas.openxmlformats.org/markup-compatibility/2006">
          <mc:Choice Requires="x14">
            <control shapeId="15373" r:id="rId8" name="Button 13">
              <controlPr defaultSize="0" print="0" autoFill="0" autoPict="0" macro="[0]!get_master_7_CLMStkGetDateZyouhou">
                <anchor moveWithCells="1" sizeWithCells="1">
                  <from>
                    <xdr:col>25</xdr:col>
                    <xdr:colOff>47625</xdr:colOff>
                    <xdr:row>2</xdr:row>
                    <xdr:rowOff>95250</xdr:rowOff>
                  </from>
                  <to>
                    <xdr:col>25</xdr:col>
                    <xdr:colOff>2028825</xdr:colOff>
                    <xdr:row>2</xdr:row>
                    <xdr:rowOff>733425</xdr:rowOff>
                  </to>
                </anchor>
              </controlPr>
            </control>
          </mc:Choice>
        </mc:AlternateContent>
        <mc:AlternateContent xmlns:mc="http://schemas.openxmlformats.org/markup-compatibility/2006">
          <mc:Choice Requires="x14">
            <control shapeId="15377" r:id="rId9" name="Button 17">
              <controlPr defaultSize="0" print="0" autoFill="0" autoPict="0" macro="[0]!get_master_8_CLMStkGetYobine">
                <anchor moveWithCells="1" sizeWithCells="1">
                  <from>
                    <xdr:col>29</xdr:col>
                    <xdr:colOff>47625</xdr:colOff>
                    <xdr:row>2</xdr:row>
                    <xdr:rowOff>95250</xdr:rowOff>
                  </from>
                  <to>
                    <xdr:col>29</xdr:col>
                    <xdr:colOff>2028825</xdr:colOff>
                    <xdr:row>2</xdr:row>
                    <xdr:rowOff>733425</xdr:rowOff>
                  </to>
                </anchor>
              </controlPr>
            </control>
          </mc:Choice>
        </mc:AlternateContent>
        <mc:AlternateContent xmlns:mc="http://schemas.openxmlformats.org/markup-compatibility/2006">
          <mc:Choice Requires="x14">
            <control shapeId="15379" r:id="rId10" name="Button 19">
              <controlPr defaultSize="0" print="0" autoFill="0" autoPict="0" macro="[0]!get_master_9_CLMStkGetDaiyouKakeme">
                <anchor moveWithCells="1" sizeWithCells="1">
                  <from>
                    <xdr:col>33</xdr:col>
                    <xdr:colOff>47625</xdr:colOff>
                    <xdr:row>2</xdr:row>
                    <xdr:rowOff>95250</xdr:rowOff>
                  </from>
                  <to>
                    <xdr:col>33</xdr:col>
                    <xdr:colOff>2028825</xdr:colOff>
                    <xdr:row>2</xdr:row>
                    <xdr:rowOff>733425</xdr:rowOff>
                  </to>
                </anchor>
              </controlPr>
            </control>
          </mc:Choice>
        </mc:AlternateContent>
        <mc:AlternateContent xmlns:mc="http://schemas.openxmlformats.org/markup-compatibility/2006">
          <mc:Choice Requires="x14">
            <control shapeId="15381" r:id="rId11" name="Button 21">
              <controlPr defaultSize="0" print="0" autoFill="0" autoPict="0" macro="[0]!get_master_10_CLMStkGetIssueSizyouKiseiKabu">
                <anchor moveWithCells="1" sizeWithCells="1">
                  <from>
                    <xdr:col>37</xdr:col>
                    <xdr:colOff>47625</xdr:colOff>
                    <xdr:row>2</xdr:row>
                    <xdr:rowOff>95250</xdr:rowOff>
                  </from>
                  <to>
                    <xdr:col>37</xdr:col>
                    <xdr:colOff>2209800</xdr:colOff>
                    <xdr:row>2</xdr:row>
                    <xdr:rowOff>733425</xdr:rowOff>
                  </to>
                </anchor>
              </controlPr>
            </control>
          </mc:Choice>
        </mc:AlternateContent>
        <mc:AlternateContent xmlns:mc="http://schemas.openxmlformats.org/markup-compatibility/2006">
          <mc:Choice Requires="x14">
            <control shapeId="15383" r:id="rId12" name="Button 23">
              <controlPr defaultSize="0" print="0" autoFill="0" autoPict="0" macro="[0]!get_master_11_CLMStkGetIssueSizyouKiseiHasei">
                <anchor moveWithCells="1" sizeWithCells="1">
                  <from>
                    <xdr:col>41</xdr:col>
                    <xdr:colOff>47625</xdr:colOff>
                    <xdr:row>2</xdr:row>
                    <xdr:rowOff>95250</xdr:rowOff>
                  </from>
                  <to>
                    <xdr:col>41</xdr:col>
                    <xdr:colOff>2390775</xdr:colOff>
                    <xdr:row>2</xdr:row>
                    <xdr:rowOff>733425</xdr:rowOff>
                  </to>
                </anchor>
              </controlPr>
            </control>
          </mc:Choice>
        </mc:AlternateContent>
        <mc:AlternateContent xmlns:mc="http://schemas.openxmlformats.org/markup-compatibility/2006">
          <mc:Choice Requires="x14">
            <control shapeId="15385" r:id="rId13" name="Button 25">
              <controlPr defaultSize="0" print="0" autoFill="0" autoPict="0" macro="[0]!get_master_12_CLMStkGetHosyoukinMst">
                <anchor moveWithCells="1" sizeWithCells="1">
                  <from>
                    <xdr:col>45</xdr:col>
                    <xdr:colOff>47625</xdr:colOff>
                    <xdr:row>2</xdr:row>
                    <xdr:rowOff>95250</xdr:rowOff>
                  </from>
                  <to>
                    <xdr:col>45</xdr:col>
                    <xdr:colOff>2028825</xdr:colOff>
                    <xdr:row>2</xdr:row>
                    <xdr:rowOff>733425</xdr:rowOff>
                  </to>
                </anchor>
              </controlPr>
            </control>
          </mc:Choice>
        </mc:AlternateContent>
        <mc:AlternateContent xmlns:mc="http://schemas.openxmlformats.org/markup-compatibility/2006">
          <mc:Choice Requires="x14">
            <control shapeId="15387" r:id="rId14" name="Button 27">
              <controlPr defaultSize="0" print="0" autoFill="0" autoPict="0" macro="[0]!get_master_13_CLMStkGetOrderErrReason">
                <anchor moveWithCells="1" sizeWithCells="1">
                  <from>
                    <xdr:col>49</xdr:col>
                    <xdr:colOff>47625</xdr:colOff>
                    <xdr:row>2</xdr:row>
                    <xdr:rowOff>95250</xdr:rowOff>
                  </from>
                  <to>
                    <xdr:col>49</xdr:col>
                    <xdr:colOff>2390775</xdr:colOff>
                    <xdr:row>2</xdr:row>
                    <xdr:rowOff>733425</xdr:rowOff>
                  </to>
                </anchor>
              </controlPr>
            </control>
          </mc:Choice>
        </mc:AlternateContent>
        <mc:AlternateContent xmlns:mc="http://schemas.openxmlformats.org/markup-compatibility/2006">
          <mc:Choice Requires="x14">
            <control shapeId="15391" r:id="rId15" name="Button 31">
              <controlPr defaultSize="0" print="0" autoFill="0" autoPict="0" macro="[0]!get_master_5_CLMStkGetIssueMstIndex">
                <anchor moveWithCells="1" sizeWithCells="1">
                  <from>
                    <xdr:col>17</xdr:col>
                    <xdr:colOff>47625</xdr:colOff>
                    <xdr:row>2</xdr:row>
                    <xdr:rowOff>95250</xdr:rowOff>
                  </from>
                  <to>
                    <xdr:col>17</xdr:col>
                    <xdr:colOff>2028825</xdr:colOff>
                    <xdr:row>2</xdr:row>
                    <xdr:rowOff>733425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1206"/>
  <sheetViews>
    <sheetView workbookViewId="0">
      <selection activeCell="C2" sqref="C2"/>
    </sheetView>
  </sheetViews>
  <sheetFormatPr defaultColWidth="11.25" defaultRowHeight="18.75" x14ac:dyDescent="0.4"/>
  <cols>
    <col min="1" max="1" width="11.25" style="39"/>
    <col min="2" max="2" width="29.25" style="39" customWidth="1"/>
    <col min="3" max="3" width="33.75" style="39" customWidth="1"/>
    <col min="4" max="4" width="34.5" style="39" customWidth="1"/>
    <col min="5" max="5" width="24.5" style="39" bestFit="1" customWidth="1"/>
    <col min="6" max="6" width="34.125" style="39" customWidth="1"/>
    <col min="7" max="7" width="23.125" style="39" bestFit="1" customWidth="1"/>
    <col min="8" max="8" width="24.625" style="39" customWidth="1"/>
    <col min="9" max="9" width="23.125" style="39" bestFit="1" customWidth="1"/>
    <col min="10" max="16384" width="11.25" style="39"/>
  </cols>
  <sheetData>
    <row r="1" spans="2:7" x14ac:dyDescent="0.4">
      <c r="B1" s="39">
        <v>3</v>
      </c>
    </row>
    <row r="2" spans="2:7" s="40" customFormat="1" ht="213" customHeight="1" x14ac:dyDescent="0.4">
      <c r="B2" s="40" t="s">
        <v>648</v>
      </c>
    </row>
    <row r="3" spans="2:7" x14ac:dyDescent="0.4">
      <c r="B3" s="39" t="s">
        <v>589</v>
      </c>
      <c r="C3" s="39" t="s">
        <v>646</v>
      </c>
    </row>
    <row r="4" spans="2:7" x14ac:dyDescent="0.4">
      <c r="B4" s="39" t="s">
        <v>590</v>
      </c>
      <c r="C4" s="39">
        <v>3</v>
      </c>
    </row>
    <row r="5" spans="2:7" x14ac:dyDescent="0.4">
      <c r="B5" s="39" t="s">
        <v>591</v>
      </c>
      <c r="C5" s="39" t="s">
        <v>647</v>
      </c>
    </row>
    <row r="6" spans="2:7" x14ac:dyDescent="0.4">
      <c r="B6" s="39" t="s">
        <v>592</v>
      </c>
      <c r="C6" s="39">
        <v>0</v>
      </c>
    </row>
    <row r="7" spans="2:7" x14ac:dyDescent="0.4">
      <c r="B7" s="39" t="s">
        <v>593</v>
      </c>
    </row>
    <row r="8" spans="2:7" x14ac:dyDescent="0.4">
      <c r="B8" s="39" t="s">
        <v>594</v>
      </c>
      <c r="C8" s="39" t="s">
        <v>399</v>
      </c>
    </row>
    <row r="9" spans="2:7" x14ac:dyDescent="0.4">
      <c r="B9" s="39" t="s">
        <v>610</v>
      </c>
      <c r="D9" s="50"/>
    </row>
    <row r="10" spans="2:7" x14ac:dyDescent="0.4">
      <c r="B10" s="39" t="s">
        <v>625</v>
      </c>
      <c r="D10" s="50"/>
    </row>
    <row r="11" spans="2:7" x14ac:dyDescent="0.4">
      <c r="B11" s="39" t="s">
        <v>596</v>
      </c>
      <c r="C11" s="39">
        <v>0</v>
      </c>
      <c r="D11" s="50"/>
      <c r="E11" s="41"/>
    </row>
    <row r="12" spans="2:7" x14ac:dyDescent="0.4">
      <c r="B12" s="39" t="s">
        <v>38</v>
      </c>
      <c r="C12" s="42"/>
      <c r="D12" s="50"/>
      <c r="E12" s="42"/>
      <c r="G12" s="42"/>
    </row>
    <row r="13" spans="2:7" x14ac:dyDescent="0.4">
      <c r="B13" s="39" t="s">
        <v>602</v>
      </c>
      <c r="C13" s="39">
        <v>0</v>
      </c>
      <c r="D13" s="50"/>
    </row>
    <row r="14" spans="2:7" x14ac:dyDescent="0.4">
      <c r="B14" s="39" t="s">
        <v>604</v>
      </c>
      <c r="C14" s="42"/>
      <c r="D14" s="50"/>
      <c r="E14" s="42"/>
      <c r="G14" s="42"/>
    </row>
    <row r="15" spans="2:7" x14ac:dyDescent="0.4">
      <c r="B15" s="39" t="s">
        <v>626</v>
      </c>
      <c r="C15" s="39">
        <v>202610071104</v>
      </c>
      <c r="D15" s="50"/>
    </row>
    <row r="16" spans="2:7" x14ac:dyDescent="0.4">
      <c r="B16" s="39" t="s">
        <v>628</v>
      </c>
      <c r="C16" s="42">
        <v>19279494</v>
      </c>
      <c r="D16" s="50"/>
      <c r="E16" s="42"/>
      <c r="G16" s="42"/>
    </row>
    <row r="17" spans="2:7" x14ac:dyDescent="0.4">
      <c r="B17" s="39" t="s">
        <v>630</v>
      </c>
      <c r="C17" s="39">
        <v>2400000</v>
      </c>
      <c r="D17" s="50"/>
    </row>
    <row r="18" spans="2:7" x14ac:dyDescent="0.4">
      <c r="B18" s="39" t="s">
        <v>632</v>
      </c>
      <c r="C18" s="39">
        <v>0</v>
      </c>
      <c r="D18" s="50"/>
    </row>
    <row r="19" spans="2:7" x14ac:dyDescent="0.4">
      <c r="D19" s="50"/>
    </row>
    <row r="20" spans="2:7" x14ac:dyDescent="0.4">
      <c r="D20" s="50"/>
    </row>
    <row r="21" spans="2:7" x14ac:dyDescent="0.4">
      <c r="D21" s="50"/>
    </row>
    <row r="22" spans="2:7" x14ac:dyDescent="0.4">
      <c r="C22" s="42"/>
      <c r="D22" s="50"/>
      <c r="E22" s="42"/>
      <c r="G22" s="42"/>
    </row>
    <row r="23" spans="2:7" x14ac:dyDescent="0.4">
      <c r="D23" s="50"/>
    </row>
    <row r="24" spans="2:7" x14ac:dyDescent="0.4">
      <c r="C24" s="42"/>
      <c r="D24" s="50"/>
      <c r="E24" s="42"/>
      <c r="G24" s="42"/>
    </row>
    <row r="25" spans="2:7" x14ac:dyDescent="0.4">
      <c r="D25" s="50"/>
    </row>
    <row r="26" spans="2:7" x14ac:dyDescent="0.4">
      <c r="C26" s="42"/>
      <c r="D26" s="50"/>
      <c r="E26" s="42"/>
      <c r="G26" s="42"/>
    </row>
    <row r="27" spans="2:7" x14ac:dyDescent="0.4">
      <c r="D27" s="50"/>
    </row>
    <row r="28" spans="2:7" x14ac:dyDescent="0.4">
      <c r="D28" s="50"/>
    </row>
    <row r="29" spans="2:7" x14ac:dyDescent="0.4">
      <c r="D29" s="50"/>
    </row>
    <row r="30" spans="2:7" x14ac:dyDescent="0.4">
      <c r="D30" s="50"/>
    </row>
    <row r="31" spans="2:7" x14ac:dyDescent="0.4">
      <c r="D31" s="50"/>
    </row>
    <row r="32" spans="2:7" x14ac:dyDescent="0.4">
      <c r="C32" s="42"/>
      <c r="D32" s="50"/>
      <c r="E32" s="42"/>
      <c r="G32" s="42"/>
    </row>
    <row r="33" spans="3:7" x14ac:dyDescent="0.4">
      <c r="D33" s="50"/>
    </row>
    <row r="34" spans="3:7" x14ac:dyDescent="0.4">
      <c r="C34" s="42"/>
      <c r="D34" s="50"/>
      <c r="E34" s="42"/>
      <c r="G34" s="42"/>
    </row>
    <row r="35" spans="3:7" x14ac:dyDescent="0.4">
      <c r="D35" s="50"/>
    </row>
    <row r="36" spans="3:7" x14ac:dyDescent="0.4">
      <c r="C36" s="42"/>
      <c r="D36" s="50"/>
      <c r="E36" s="42"/>
      <c r="G36" s="42"/>
    </row>
    <row r="37" spans="3:7" x14ac:dyDescent="0.4">
      <c r="D37" s="50"/>
    </row>
    <row r="42" spans="3:7" x14ac:dyDescent="0.4">
      <c r="C42" s="42"/>
      <c r="E42" s="42"/>
      <c r="G42" s="42"/>
    </row>
    <row r="44" spans="3:7" x14ac:dyDescent="0.4">
      <c r="C44" s="42"/>
      <c r="E44" s="42"/>
      <c r="G44" s="42"/>
    </row>
    <row r="46" spans="3:7" x14ac:dyDescent="0.4">
      <c r="C46" s="42"/>
      <c r="E46" s="42"/>
      <c r="G46" s="42"/>
    </row>
    <row r="52" spans="3:3" x14ac:dyDescent="0.4">
      <c r="C52" s="42"/>
    </row>
    <row r="54" spans="3:3" x14ac:dyDescent="0.4">
      <c r="C54" s="42"/>
    </row>
    <row r="56" spans="3:3" x14ac:dyDescent="0.4">
      <c r="C56" s="42"/>
    </row>
    <row r="62" spans="3:3" x14ac:dyDescent="0.4">
      <c r="C62" s="42"/>
    </row>
    <row r="64" spans="3:3" x14ac:dyDescent="0.4">
      <c r="C64" s="42"/>
    </row>
    <row r="66" spans="3:3" x14ac:dyDescent="0.4">
      <c r="C66" s="42"/>
    </row>
    <row r="72" spans="3:3" x14ac:dyDescent="0.4">
      <c r="C72" s="42"/>
    </row>
    <row r="74" spans="3:3" x14ac:dyDescent="0.4">
      <c r="C74" s="42"/>
    </row>
    <row r="76" spans="3:3" x14ac:dyDescent="0.4">
      <c r="C76" s="42"/>
    </row>
    <row r="82" spans="3:3" x14ac:dyDescent="0.4">
      <c r="C82" s="42"/>
    </row>
    <row r="84" spans="3:3" x14ac:dyDescent="0.4">
      <c r="C84" s="42"/>
    </row>
    <row r="86" spans="3:3" x14ac:dyDescent="0.4">
      <c r="C86" s="42"/>
    </row>
    <row r="92" spans="3:3" x14ac:dyDescent="0.4">
      <c r="C92" s="42"/>
    </row>
    <row r="94" spans="3:3" x14ac:dyDescent="0.4">
      <c r="C94" s="42"/>
    </row>
    <row r="96" spans="3:3" x14ac:dyDescent="0.4">
      <c r="C96" s="42"/>
    </row>
    <row r="102" spans="3:3" x14ac:dyDescent="0.4">
      <c r="C102" s="42"/>
    </row>
    <row r="104" spans="3:3" x14ac:dyDescent="0.4">
      <c r="C104" s="42"/>
    </row>
    <row r="106" spans="3:3" x14ac:dyDescent="0.4">
      <c r="C106" s="42"/>
    </row>
    <row r="112" spans="3:3" x14ac:dyDescent="0.4">
      <c r="C112" s="42"/>
    </row>
    <row r="114" spans="3:3" x14ac:dyDescent="0.4">
      <c r="C114" s="42"/>
    </row>
    <row r="116" spans="3:3" x14ac:dyDescent="0.4">
      <c r="C116" s="42"/>
    </row>
    <row r="122" spans="3:3" x14ac:dyDescent="0.4">
      <c r="C122" s="42"/>
    </row>
    <row r="124" spans="3:3" x14ac:dyDescent="0.4">
      <c r="C124" s="42"/>
    </row>
    <row r="126" spans="3:3" x14ac:dyDescent="0.4">
      <c r="C126" s="42"/>
    </row>
    <row r="132" spans="3:3" x14ac:dyDescent="0.4">
      <c r="C132" s="42"/>
    </row>
    <row r="134" spans="3:3" x14ac:dyDescent="0.4">
      <c r="C134" s="42"/>
    </row>
    <row r="136" spans="3:3" x14ac:dyDescent="0.4">
      <c r="C136" s="42"/>
    </row>
    <row r="142" spans="3:3" x14ac:dyDescent="0.4">
      <c r="C142" s="42"/>
    </row>
    <row r="144" spans="3:3" x14ac:dyDescent="0.4">
      <c r="C144" s="42"/>
    </row>
    <row r="146" spans="3:3" x14ac:dyDescent="0.4">
      <c r="C146" s="42"/>
    </row>
    <row r="152" spans="3:3" x14ac:dyDescent="0.4">
      <c r="C152" s="42"/>
    </row>
    <row r="154" spans="3:3" x14ac:dyDescent="0.4">
      <c r="C154" s="42"/>
    </row>
    <row r="156" spans="3:3" x14ac:dyDescent="0.4">
      <c r="C156" s="42"/>
    </row>
    <row r="162" spans="3:3" x14ac:dyDescent="0.4">
      <c r="C162" s="42"/>
    </row>
    <row r="164" spans="3:3" x14ac:dyDescent="0.4">
      <c r="C164" s="42"/>
    </row>
    <row r="166" spans="3:3" x14ac:dyDescent="0.4">
      <c r="C166" s="42"/>
    </row>
    <row r="172" spans="3:3" x14ac:dyDescent="0.4">
      <c r="C172" s="42"/>
    </row>
    <row r="174" spans="3:3" x14ac:dyDescent="0.4">
      <c r="C174" s="42"/>
    </row>
    <row r="176" spans="3:3" x14ac:dyDescent="0.4">
      <c r="C176" s="42"/>
    </row>
    <row r="182" spans="3:3" x14ac:dyDescent="0.4">
      <c r="C182" s="42"/>
    </row>
    <row r="184" spans="3:3" x14ac:dyDescent="0.4">
      <c r="C184" s="42"/>
    </row>
    <row r="186" spans="3:3" x14ac:dyDescent="0.4">
      <c r="C186" s="42"/>
    </row>
    <row r="192" spans="3:3" x14ac:dyDescent="0.4">
      <c r="C192" s="42"/>
    </row>
    <row r="194" spans="3:3" x14ac:dyDescent="0.4">
      <c r="C194" s="42"/>
    </row>
    <row r="196" spans="3:3" x14ac:dyDescent="0.4">
      <c r="C196" s="42"/>
    </row>
    <row r="202" spans="3:3" x14ac:dyDescent="0.4">
      <c r="C202" s="42"/>
    </row>
    <row r="204" spans="3:3" x14ac:dyDescent="0.4">
      <c r="C204" s="42"/>
    </row>
    <row r="206" spans="3:3" x14ac:dyDescent="0.4">
      <c r="C206" s="42"/>
    </row>
    <row r="212" spans="3:3" x14ac:dyDescent="0.4">
      <c r="C212" s="42"/>
    </row>
    <row r="214" spans="3:3" x14ac:dyDescent="0.4">
      <c r="C214" s="42"/>
    </row>
    <row r="216" spans="3:3" x14ac:dyDescent="0.4">
      <c r="C216" s="42"/>
    </row>
    <row r="222" spans="3:3" x14ac:dyDescent="0.4">
      <c r="C222" s="42"/>
    </row>
    <row r="224" spans="3:3" x14ac:dyDescent="0.4">
      <c r="C224" s="42"/>
    </row>
    <row r="226" spans="3:3" x14ac:dyDescent="0.4">
      <c r="C226" s="42"/>
    </row>
    <row r="232" spans="3:3" x14ac:dyDescent="0.4">
      <c r="C232" s="42"/>
    </row>
    <row r="234" spans="3:3" x14ac:dyDescent="0.4">
      <c r="C234" s="42"/>
    </row>
    <row r="236" spans="3:3" x14ac:dyDescent="0.4">
      <c r="C236" s="42"/>
    </row>
    <row r="242" spans="3:3" x14ac:dyDescent="0.4">
      <c r="C242" s="42"/>
    </row>
    <row r="244" spans="3:3" x14ac:dyDescent="0.4">
      <c r="C244" s="42"/>
    </row>
    <row r="246" spans="3:3" x14ac:dyDescent="0.4">
      <c r="C246" s="42"/>
    </row>
    <row r="252" spans="3:3" x14ac:dyDescent="0.4">
      <c r="C252" s="42"/>
    </row>
    <row r="254" spans="3:3" x14ac:dyDescent="0.4">
      <c r="C254" s="42"/>
    </row>
    <row r="256" spans="3:3" x14ac:dyDescent="0.4">
      <c r="C256" s="42"/>
    </row>
    <row r="262" spans="3:3" x14ac:dyDescent="0.4">
      <c r="C262" s="42"/>
    </row>
    <row r="264" spans="3:3" x14ac:dyDescent="0.4">
      <c r="C264" s="42"/>
    </row>
    <row r="266" spans="3:3" x14ac:dyDescent="0.4">
      <c r="C266" s="42"/>
    </row>
    <row r="272" spans="3:3" x14ac:dyDescent="0.4">
      <c r="C272" s="42"/>
    </row>
    <row r="274" spans="3:3" x14ac:dyDescent="0.4">
      <c r="C274" s="42"/>
    </row>
    <row r="276" spans="3:3" x14ac:dyDescent="0.4">
      <c r="C276" s="42"/>
    </row>
    <row r="282" spans="3:3" x14ac:dyDescent="0.4">
      <c r="C282" s="42"/>
    </row>
    <row r="284" spans="3:3" x14ac:dyDescent="0.4">
      <c r="C284" s="42"/>
    </row>
    <row r="286" spans="3:3" x14ac:dyDescent="0.4">
      <c r="C286" s="42"/>
    </row>
    <row r="292" spans="3:3" x14ac:dyDescent="0.4">
      <c r="C292" s="42"/>
    </row>
    <row r="294" spans="3:3" x14ac:dyDescent="0.4">
      <c r="C294" s="42"/>
    </row>
    <row r="296" spans="3:3" x14ac:dyDescent="0.4">
      <c r="C296" s="42"/>
    </row>
    <row r="302" spans="3:3" x14ac:dyDescent="0.4">
      <c r="C302" s="42"/>
    </row>
    <row r="304" spans="3:3" x14ac:dyDescent="0.4">
      <c r="C304" s="42"/>
    </row>
    <row r="306" spans="3:3" x14ac:dyDescent="0.4">
      <c r="C306" s="42"/>
    </row>
    <row r="312" spans="3:3" x14ac:dyDescent="0.4">
      <c r="C312" s="42"/>
    </row>
    <row r="314" spans="3:3" x14ac:dyDescent="0.4">
      <c r="C314" s="42"/>
    </row>
    <row r="316" spans="3:3" x14ac:dyDescent="0.4">
      <c r="C316" s="42"/>
    </row>
    <row r="322" spans="3:3" x14ac:dyDescent="0.4">
      <c r="C322" s="42"/>
    </row>
    <row r="324" spans="3:3" x14ac:dyDescent="0.4">
      <c r="C324" s="42"/>
    </row>
    <row r="326" spans="3:3" x14ac:dyDescent="0.4">
      <c r="C326" s="42"/>
    </row>
    <row r="332" spans="3:3" x14ac:dyDescent="0.4">
      <c r="C332" s="42"/>
    </row>
    <row r="334" spans="3:3" x14ac:dyDescent="0.4">
      <c r="C334" s="42"/>
    </row>
    <row r="336" spans="3:3" x14ac:dyDescent="0.4">
      <c r="C336" s="42"/>
    </row>
    <row r="342" spans="3:3" x14ac:dyDescent="0.4">
      <c r="C342" s="42"/>
    </row>
    <row r="344" spans="3:3" x14ac:dyDescent="0.4">
      <c r="C344" s="42"/>
    </row>
    <row r="346" spans="3:3" x14ac:dyDescent="0.4">
      <c r="C346" s="42"/>
    </row>
    <row r="352" spans="3:3" x14ac:dyDescent="0.4">
      <c r="C352" s="42"/>
    </row>
    <row r="354" spans="3:3" x14ac:dyDescent="0.4">
      <c r="C354" s="42"/>
    </row>
    <row r="356" spans="3:3" x14ac:dyDescent="0.4">
      <c r="C356" s="42"/>
    </row>
    <row r="362" spans="3:3" x14ac:dyDescent="0.4">
      <c r="C362" s="42"/>
    </row>
    <row r="364" spans="3:3" x14ac:dyDescent="0.4">
      <c r="C364" s="42"/>
    </row>
    <row r="366" spans="3:3" x14ac:dyDescent="0.4">
      <c r="C366" s="42"/>
    </row>
    <row r="372" spans="3:3" x14ac:dyDescent="0.4">
      <c r="C372" s="42"/>
    </row>
    <row r="374" spans="3:3" x14ac:dyDescent="0.4">
      <c r="C374" s="42"/>
    </row>
    <row r="376" spans="3:3" x14ac:dyDescent="0.4">
      <c r="C376" s="42"/>
    </row>
    <row r="382" spans="3:3" x14ac:dyDescent="0.4">
      <c r="C382" s="42"/>
    </row>
    <row r="384" spans="3:3" x14ac:dyDescent="0.4">
      <c r="C384" s="42"/>
    </row>
    <row r="386" spans="3:3" x14ac:dyDescent="0.4">
      <c r="C386" s="42"/>
    </row>
    <row r="392" spans="3:3" x14ac:dyDescent="0.4">
      <c r="C392" s="42"/>
    </row>
    <row r="394" spans="3:3" x14ac:dyDescent="0.4">
      <c r="C394" s="42"/>
    </row>
    <row r="396" spans="3:3" x14ac:dyDescent="0.4">
      <c r="C396" s="42"/>
    </row>
    <row r="402" spans="3:3" x14ac:dyDescent="0.4">
      <c r="C402" s="42"/>
    </row>
    <row r="404" spans="3:3" x14ac:dyDescent="0.4">
      <c r="C404" s="42"/>
    </row>
    <row r="406" spans="3:3" x14ac:dyDescent="0.4">
      <c r="C406" s="42"/>
    </row>
    <row r="412" spans="3:3" x14ac:dyDescent="0.4">
      <c r="C412" s="42"/>
    </row>
    <row r="414" spans="3:3" x14ac:dyDescent="0.4">
      <c r="C414" s="42"/>
    </row>
    <row r="416" spans="3:3" x14ac:dyDescent="0.4">
      <c r="C416" s="42"/>
    </row>
    <row r="422" spans="3:3" x14ac:dyDescent="0.4">
      <c r="C422" s="42"/>
    </row>
    <row r="424" spans="3:3" x14ac:dyDescent="0.4">
      <c r="C424" s="42"/>
    </row>
    <row r="426" spans="3:3" x14ac:dyDescent="0.4">
      <c r="C426" s="42"/>
    </row>
    <row r="432" spans="3:3" x14ac:dyDescent="0.4">
      <c r="C432" s="42"/>
    </row>
    <row r="434" spans="3:3" x14ac:dyDescent="0.4">
      <c r="C434" s="42"/>
    </row>
    <row r="436" spans="3:3" x14ac:dyDescent="0.4">
      <c r="C436" s="42"/>
    </row>
    <row r="442" spans="3:3" x14ac:dyDescent="0.4">
      <c r="C442" s="42"/>
    </row>
    <row r="444" spans="3:3" x14ac:dyDescent="0.4">
      <c r="C444" s="42"/>
    </row>
    <row r="446" spans="3:3" x14ac:dyDescent="0.4">
      <c r="C446" s="42"/>
    </row>
    <row r="452" spans="3:3" x14ac:dyDescent="0.4">
      <c r="C452" s="42"/>
    </row>
    <row r="454" spans="3:3" x14ac:dyDescent="0.4">
      <c r="C454" s="42"/>
    </row>
    <row r="456" spans="3:3" x14ac:dyDescent="0.4">
      <c r="C456" s="42"/>
    </row>
    <row r="462" spans="3:3" x14ac:dyDescent="0.4">
      <c r="C462" s="42"/>
    </row>
    <row r="464" spans="3:3" x14ac:dyDescent="0.4">
      <c r="C464" s="42"/>
    </row>
    <row r="466" spans="3:3" x14ac:dyDescent="0.4">
      <c r="C466" s="42"/>
    </row>
    <row r="472" spans="3:3" x14ac:dyDescent="0.4">
      <c r="C472" s="42"/>
    </row>
    <row r="474" spans="3:3" x14ac:dyDescent="0.4">
      <c r="C474" s="42"/>
    </row>
    <row r="476" spans="3:3" x14ac:dyDescent="0.4">
      <c r="C476" s="42"/>
    </row>
    <row r="482" spans="3:3" x14ac:dyDescent="0.4">
      <c r="C482" s="42"/>
    </row>
    <row r="484" spans="3:3" x14ac:dyDescent="0.4">
      <c r="C484" s="42"/>
    </row>
    <row r="486" spans="3:3" x14ac:dyDescent="0.4">
      <c r="C486" s="42"/>
    </row>
    <row r="492" spans="3:3" x14ac:dyDescent="0.4">
      <c r="C492" s="42"/>
    </row>
    <row r="494" spans="3:3" x14ac:dyDescent="0.4">
      <c r="C494" s="42"/>
    </row>
    <row r="496" spans="3:3" x14ac:dyDescent="0.4">
      <c r="C496" s="42"/>
    </row>
    <row r="502" spans="3:3" x14ac:dyDescent="0.4">
      <c r="C502" s="42"/>
    </row>
    <row r="504" spans="3:3" x14ac:dyDescent="0.4">
      <c r="C504" s="42"/>
    </row>
    <row r="506" spans="3:3" x14ac:dyDescent="0.4">
      <c r="C506" s="42"/>
    </row>
    <row r="512" spans="3:3" x14ac:dyDescent="0.4">
      <c r="C512" s="42"/>
    </row>
    <row r="514" spans="3:3" x14ac:dyDescent="0.4">
      <c r="C514" s="42"/>
    </row>
    <row r="516" spans="3:3" x14ac:dyDescent="0.4">
      <c r="C516" s="42"/>
    </row>
    <row r="522" spans="3:3" x14ac:dyDescent="0.4">
      <c r="C522" s="42"/>
    </row>
    <row r="524" spans="3:3" x14ac:dyDescent="0.4">
      <c r="C524" s="42"/>
    </row>
    <row r="526" spans="3:3" x14ac:dyDescent="0.4">
      <c r="C526" s="42"/>
    </row>
    <row r="532" spans="3:3" x14ac:dyDescent="0.4">
      <c r="C532" s="42"/>
    </row>
    <row r="534" spans="3:3" x14ac:dyDescent="0.4">
      <c r="C534" s="42"/>
    </row>
    <row r="536" spans="3:3" x14ac:dyDescent="0.4">
      <c r="C536" s="42"/>
    </row>
    <row r="542" spans="3:3" x14ac:dyDescent="0.4">
      <c r="C542" s="42"/>
    </row>
    <row r="544" spans="3:3" x14ac:dyDescent="0.4">
      <c r="C544" s="42"/>
    </row>
    <row r="546" spans="3:3" x14ac:dyDescent="0.4">
      <c r="C546" s="42"/>
    </row>
    <row r="552" spans="3:3" x14ac:dyDescent="0.4">
      <c r="C552" s="42"/>
    </row>
    <row r="554" spans="3:3" x14ac:dyDescent="0.4">
      <c r="C554" s="42"/>
    </row>
    <row r="556" spans="3:3" x14ac:dyDescent="0.4">
      <c r="C556" s="42"/>
    </row>
    <row r="562" spans="3:3" x14ac:dyDescent="0.4">
      <c r="C562" s="42"/>
    </row>
    <row r="564" spans="3:3" x14ac:dyDescent="0.4">
      <c r="C564" s="42"/>
    </row>
    <row r="566" spans="3:3" x14ac:dyDescent="0.4">
      <c r="C566" s="42"/>
    </row>
    <row r="572" spans="3:3" x14ac:dyDescent="0.4">
      <c r="C572" s="42"/>
    </row>
    <row r="574" spans="3:3" x14ac:dyDescent="0.4">
      <c r="C574" s="42"/>
    </row>
    <row r="576" spans="3:3" x14ac:dyDescent="0.4">
      <c r="C576" s="42"/>
    </row>
    <row r="582" spans="3:3" x14ac:dyDescent="0.4">
      <c r="C582" s="42"/>
    </row>
    <row r="584" spans="3:3" x14ac:dyDescent="0.4">
      <c r="C584" s="42"/>
    </row>
    <row r="586" spans="3:3" x14ac:dyDescent="0.4">
      <c r="C586" s="42"/>
    </row>
    <row r="592" spans="3:3" x14ac:dyDescent="0.4">
      <c r="C592" s="42"/>
    </row>
    <row r="594" spans="3:3" x14ac:dyDescent="0.4">
      <c r="C594" s="42"/>
    </row>
    <row r="596" spans="3:3" x14ac:dyDescent="0.4">
      <c r="C596" s="42"/>
    </row>
    <row r="602" spans="3:3" x14ac:dyDescent="0.4">
      <c r="C602" s="42"/>
    </row>
    <row r="604" spans="3:3" x14ac:dyDescent="0.4">
      <c r="C604" s="42"/>
    </row>
    <row r="606" spans="3:3" x14ac:dyDescent="0.4">
      <c r="C606" s="42"/>
    </row>
    <row r="612" spans="3:3" x14ac:dyDescent="0.4">
      <c r="C612" s="42"/>
    </row>
    <row r="614" spans="3:3" x14ac:dyDescent="0.4">
      <c r="C614" s="42"/>
    </row>
    <row r="616" spans="3:3" x14ac:dyDescent="0.4">
      <c r="C616" s="42"/>
    </row>
    <row r="622" spans="3:3" x14ac:dyDescent="0.4">
      <c r="C622" s="42"/>
    </row>
    <row r="624" spans="3:3" x14ac:dyDescent="0.4">
      <c r="C624" s="42"/>
    </row>
    <row r="626" spans="3:3" x14ac:dyDescent="0.4">
      <c r="C626" s="42"/>
    </row>
    <row r="632" spans="3:3" x14ac:dyDescent="0.4">
      <c r="C632" s="42"/>
    </row>
    <row r="634" spans="3:3" x14ac:dyDescent="0.4">
      <c r="C634" s="42"/>
    </row>
    <row r="636" spans="3:3" x14ac:dyDescent="0.4">
      <c r="C636" s="42"/>
    </row>
    <row r="642" spans="3:3" x14ac:dyDescent="0.4">
      <c r="C642" s="42"/>
    </row>
    <row r="644" spans="3:3" x14ac:dyDescent="0.4">
      <c r="C644" s="42"/>
    </row>
    <row r="646" spans="3:3" x14ac:dyDescent="0.4">
      <c r="C646" s="42"/>
    </row>
    <row r="652" spans="3:3" x14ac:dyDescent="0.4">
      <c r="C652" s="42"/>
    </row>
    <row r="654" spans="3:3" x14ac:dyDescent="0.4">
      <c r="C654" s="42"/>
    </row>
    <row r="656" spans="3:3" x14ac:dyDescent="0.4">
      <c r="C656" s="42"/>
    </row>
    <row r="662" spans="3:3" x14ac:dyDescent="0.4">
      <c r="C662" s="42"/>
    </row>
    <row r="664" spans="3:3" x14ac:dyDescent="0.4">
      <c r="C664" s="42"/>
    </row>
    <row r="666" spans="3:3" x14ac:dyDescent="0.4">
      <c r="C666" s="42"/>
    </row>
    <row r="672" spans="3:3" x14ac:dyDescent="0.4">
      <c r="C672" s="42"/>
    </row>
    <row r="674" spans="3:3" x14ac:dyDescent="0.4">
      <c r="C674" s="42"/>
    </row>
    <row r="676" spans="3:3" x14ac:dyDescent="0.4">
      <c r="C676" s="42"/>
    </row>
    <row r="682" spans="3:3" x14ac:dyDescent="0.4">
      <c r="C682" s="42"/>
    </row>
    <row r="684" spans="3:3" x14ac:dyDescent="0.4">
      <c r="C684" s="42"/>
    </row>
    <row r="686" spans="3:3" x14ac:dyDescent="0.4">
      <c r="C686" s="42"/>
    </row>
    <row r="692" spans="3:3" x14ac:dyDescent="0.4">
      <c r="C692" s="42"/>
    </row>
    <row r="694" spans="3:3" x14ac:dyDescent="0.4">
      <c r="C694" s="42"/>
    </row>
    <row r="696" spans="3:3" x14ac:dyDescent="0.4">
      <c r="C696" s="42"/>
    </row>
    <row r="702" spans="3:3" x14ac:dyDescent="0.4">
      <c r="C702" s="42"/>
    </row>
    <row r="704" spans="3:3" x14ac:dyDescent="0.4">
      <c r="C704" s="42"/>
    </row>
    <row r="706" spans="3:3" x14ac:dyDescent="0.4">
      <c r="C706" s="42"/>
    </row>
    <row r="712" spans="3:3" x14ac:dyDescent="0.4">
      <c r="C712" s="42"/>
    </row>
    <row r="714" spans="3:3" x14ac:dyDescent="0.4">
      <c r="C714" s="42"/>
    </row>
    <row r="716" spans="3:3" x14ac:dyDescent="0.4">
      <c r="C716" s="42"/>
    </row>
    <row r="722" spans="3:3" x14ac:dyDescent="0.4">
      <c r="C722" s="42"/>
    </row>
    <row r="724" spans="3:3" x14ac:dyDescent="0.4">
      <c r="C724" s="42"/>
    </row>
    <row r="726" spans="3:3" x14ac:dyDescent="0.4">
      <c r="C726" s="42"/>
    </row>
    <row r="732" spans="3:3" x14ac:dyDescent="0.4">
      <c r="C732" s="42"/>
    </row>
    <row r="734" spans="3:3" x14ac:dyDescent="0.4">
      <c r="C734" s="42"/>
    </row>
    <row r="736" spans="3:3" x14ac:dyDescent="0.4">
      <c r="C736" s="42"/>
    </row>
    <row r="742" spans="3:3" x14ac:dyDescent="0.4">
      <c r="C742" s="42"/>
    </row>
    <row r="744" spans="3:3" x14ac:dyDescent="0.4">
      <c r="C744" s="42"/>
    </row>
    <row r="746" spans="3:3" x14ac:dyDescent="0.4">
      <c r="C746" s="42"/>
    </row>
    <row r="752" spans="3:3" x14ac:dyDescent="0.4">
      <c r="C752" s="42"/>
    </row>
    <row r="754" spans="3:3" x14ac:dyDescent="0.4">
      <c r="C754" s="42"/>
    </row>
    <row r="756" spans="3:3" x14ac:dyDescent="0.4">
      <c r="C756" s="42"/>
    </row>
    <row r="762" spans="3:3" x14ac:dyDescent="0.4">
      <c r="C762" s="42"/>
    </row>
    <row r="764" spans="3:3" x14ac:dyDescent="0.4">
      <c r="C764" s="42"/>
    </row>
    <row r="766" spans="3:3" x14ac:dyDescent="0.4">
      <c r="C766" s="42"/>
    </row>
    <row r="772" spans="3:3" x14ac:dyDescent="0.4">
      <c r="C772" s="42"/>
    </row>
    <row r="774" spans="3:3" x14ac:dyDescent="0.4">
      <c r="C774" s="42"/>
    </row>
    <row r="776" spans="3:3" x14ac:dyDescent="0.4">
      <c r="C776" s="42"/>
    </row>
    <row r="782" spans="3:3" x14ac:dyDescent="0.4">
      <c r="C782" s="42"/>
    </row>
    <row r="784" spans="3:3" x14ac:dyDescent="0.4">
      <c r="C784" s="42"/>
    </row>
    <row r="786" spans="3:3" x14ac:dyDescent="0.4">
      <c r="C786" s="42"/>
    </row>
    <row r="792" spans="3:3" x14ac:dyDescent="0.4">
      <c r="C792" s="42"/>
    </row>
    <row r="794" spans="3:3" x14ac:dyDescent="0.4">
      <c r="C794" s="42"/>
    </row>
    <row r="796" spans="3:3" x14ac:dyDescent="0.4">
      <c r="C796" s="42"/>
    </row>
    <row r="802" spans="3:3" x14ac:dyDescent="0.4">
      <c r="C802" s="42"/>
    </row>
    <row r="804" spans="3:3" x14ac:dyDescent="0.4">
      <c r="C804" s="42"/>
    </row>
    <row r="806" spans="3:3" x14ac:dyDescent="0.4">
      <c r="C806" s="42"/>
    </row>
    <row r="812" spans="3:3" x14ac:dyDescent="0.4">
      <c r="C812" s="42"/>
    </row>
    <row r="814" spans="3:3" x14ac:dyDescent="0.4">
      <c r="C814" s="42"/>
    </row>
    <row r="816" spans="3:3" x14ac:dyDescent="0.4">
      <c r="C816" s="42"/>
    </row>
    <row r="822" spans="3:3" x14ac:dyDescent="0.4">
      <c r="C822" s="42"/>
    </row>
    <row r="824" spans="3:3" x14ac:dyDescent="0.4">
      <c r="C824" s="42"/>
    </row>
    <row r="826" spans="3:3" x14ac:dyDescent="0.4">
      <c r="C826" s="42"/>
    </row>
    <row r="832" spans="3:3" x14ac:dyDescent="0.4">
      <c r="C832" s="42"/>
    </row>
    <row r="834" spans="3:3" x14ac:dyDescent="0.4">
      <c r="C834" s="42"/>
    </row>
    <row r="836" spans="3:3" x14ac:dyDescent="0.4">
      <c r="C836" s="42"/>
    </row>
    <row r="842" spans="3:3" x14ac:dyDescent="0.4">
      <c r="C842" s="42"/>
    </row>
    <row r="844" spans="3:3" x14ac:dyDescent="0.4">
      <c r="C844" s="42"/>
    </row>
    <row r="846" spans="3:3" x14ac:dyDescent="0.4">
      <c r="C846" s="42"/>
    </row>
    <row r="852" spans="3:3" x14ac:dyDescent="0.4">
      <c r="C852" s="42"/>
    </row>
    <row r="854" spans="3:3" x14ac:dyDescent="0.4">
      <c r="C854" s="42"/>
    </row>
    <row r="856" spans="3:3" x14ac:dyDescent="0.4">
      <c r="C856" s="42"/>
    </row>
    <row r="862" spans="3:3" x14ac:dyDescent="0.4">
      <c r="C862" s="42"/>
    </row>
    <row r="864" spans="3:3" x14ac:dyDescent="0.4">
      <c r="C864" s="42"/>
    </row>
    <row r="866" spans="3:3" x14ac:dyDescent="0.4">
      <c r="C866" s="42"/>
    </row>
    <row r="872" spans="3:3" x14ac:dyDescent="0.4">
      <c r="C872" s="42"/>
    </row>
    <row r="874" spans="3:3" x14ac:dyDescent="0.4">
      <c r="C874" s="42"/>
    </row>
    <row r="876" spans="3:3" x14ac:dyDescent="0.4">
      <c r="C876" s="42"/>
    </row>
    <row r="882" spans="3:3" x14ac:dyDescent="0.4">
      <c r="C882" s="42"/>
    </row>
    <row r="884" spans="3:3" x14ac:dyDescent="0.4">
      <c r="C884" s="42"/>
    </row>
    <row r="886" spans="3:3" x14ac:dyDescent="0.4">
      <c r="C886" s="42"/>
    </row>
    <row r="892" spans="3:3" x14ac:dyDescent="0.4">
      <c r="C892" s="42"/>
    </row>
    <row r="894" spans="3:3" x14ac:dyDescent="0.4">
      <c r="C894" s="42"/>
    </row>
    <row r="896" spans="3:3" x14ac:dyDescent="0.4">
      <c r="C896" s="42"/>
    </row>
    <row r="902" spans="3:3" x14ac:dyDescent="0.4">
      <c r="C902" s="42"/>
    </row>
    <row r="904" spans="3:3" x14ac:dyDescent="0.4">
      <c r="C904" s="42"/>
    </row>
    <row r="906" spans="3:3" x14ac:dyDescent="0.4">
      <c r="C906" s="42"/>
    </row>
    <row r="912" spans="3:3" x14ac:dyDescent="0.4">
      <c r="C912" s="42"/>
    </row>
    <row r="914" spans="3:3" x14ac:dyDescent="0.4">
      <c r="C914" s="42"/>
    </row>
    <row r="916" spans="3:3" x14ac:dyDescent="0.4">
      <c r="C916" s="42"/>
    </row>
    <row r="922" spans="3:3" x14ac:dyDescent="0.4">
      <c r="C922" s="42"/>
    </row>
    <row r="924" spans="3:3" x14ac:dyDescent="0.4">
      <c r="C924" s="42"/>
    </row>
    <row r="926" spans="3:3" x14ac:dyDescent="0.4">
      <c r="C926" s="42"/>
    </row>
    <row r="932" spans="3:3" x14ac:dyDescent="0.4">
      <c r="C932" s="42"/>
    </row>
    <row r="934" spans="3:3" x14ac:dyDescent="0.4">
      <c r="C934" s="42"/>
    </row>
    <row r="936" spans="3:3" x14ac:dyDescent="0.4">
      <c r="C936" s="42"/>
    </row>
    <row r="942" spans="3:3" x14ac:dyDescent="0.4">
      <c r="C942" s="42"/>
    </row>
    <row r="944" spans="3:3" x14ac:dyDescent="0.4">
      <c r="C944" s="42"/>
    </row>
    <row r="946" spans="3:3" x14ac:dyDescent="0.4">
      <c r="C946" s="42"/>
    </row>
    <row r="952" spans="3:3" x14ac:dyDescent="0.4">
      <c r="C952" s="42"/>
    </row>
    <row r="954" spans="3:3" x14ac:dyDescent="0.4">
      <c r="C954" s="42"/>
    </row>
    <row r="956" spans="3:3" x14ac:dyDescent="0.4">
      <c r="C956" s="42"/>
    </row>
    <row r="962" spans="3:3" x14ac:dyDescent="0.4">
      <c r="C962" s="42"/>
    </row>
    <row r="964" spans="3:3" x14ac:dyDescent="0.4">
      <c r="C964" s="42"/>
    </row>
    <row r="966" spans="3:3" x14ac:dyDescent="0.4">
      <c r="C966" s="42"/>
    </row>
    <row r="972" spans="3:3" x14ac:dyDescent="0.4">
      <c r="C972" s="42"/>
    </row>
    <row r="974" spans="3:3" x14ac:dyDescent="0.4">
      <c r="C974" s="42"/>
    </row>
    <row r="976" spans="3:3" x14ac:dyDescent="0.4">
      <c r="C976" s="42"/>
    </row>
    <row r="982" spans="3:3" x14ac:dyDescent="0.4">
      <c r="C982" s="42"/>
    </row>
    <row r="984" spans="3:3" x14ac:dyDescent="0.4">
      <c r="C984" s="42"/>
    </row>
    <row r="986" spans="3:3" x14ac:dyDescent="0.4">
      <c r="C986" s="42"/>
    </row>
    <row r="992" spans="3:3" x14ac:dyDescent="0.4">
      <c r="C992" s="42"/>
    </row>
    <row r="994" spans="3:3" x14ac:dyDescent="0.4">
      <c r="C994" s="42"/>
    </row>
    <row r="996" spans="3:3" x14ac:dyDescent="0.4">
      <c r="C996" s="42"/>
    </row>
    <row r="1002" spans="3:3" x14ac:dyDescent="0.4">
      <c r="C1002" s="42"/>
    </row>
    <row r="1004" spans="3:3" x14ac:dyDescent="0.4">
      <c r="C1004" s="42"/>
    </row>
    <row r="1006" spans="3:3" x14ac:dyDescent="0.4">
      <c r="C1006" s="42"/>
    </row>
    <row r="1012" spans="3:3" x14ac:dyDescent="0.4">
      <c r="C1012" s="42"/>
    </row>
    <row r="1014" spans="3:3" x14ac:dyDescent="0.4">
      <c r="C1014" s="42"/>
    </row>
    <row r="1016" spans="3:3" x14ac:dyDescent="0.4">
      <c r="C1016" s="42"/>
    </row>
    <row r="1022" spans="3:3" x14ac:dyDescent="0.4">
      <c r="C1022" s="42"/>
    </row>
    <row r="1024" spans="3:3" x14ac:dyDescent="0.4">
      <c r="C1024" s="42"/>
    </row>
    <row r="1026" spans="3:3" x14ac:dyDescent="0.4">
      <c r="C1026" s="42"/>
    </row>
    <row r="1032" spans="3:3" x14ac:dyDescent="0.4">
      <c r="C1032" s="42"/>
    </row>
    <row r="1034" spans="3:3" x14ac:dyDescent="0.4">
      <c r="C1034" s="42"/>
    </row>
    <row r="1036" spans="3:3" x14ac:dyDescent="0.4">
      <c r="C1036" s="42"/>
    </row>
    <row r="1042" spans="3:3" x14ac:dyDescent="0.4">
      <c r="C1042" s="42"/>
    </row>
    <row r="1044" spans="3:3" x14ac:dyDescent="0.4">
      <c r="C1044" s="42"/>
    </row>
    <row r="1046" spans="3:3" x14ac:dyDescent="0.4">
      <c r="C1046" s="42"/>
    </row>
    <row r="1052" spans="3:3" x14ac:dyDescent="0.4">
      <c r="C1052" s="42"/>
    </row>
    <row r="1054" spans="3:3" x14ac:dyDescent="0.4">
      <c r="C1054" s="42"/>
    </row>
    <row r="1056" spans="3:3" x14ac:dyDescent="0.4">
      <c r="C1056" s="42"/>
    </row>
    <row r="1062" spans="3:3" x14ac:dyDescent="0.4">
      <c r="C1062" s="42"/>
    </row>
    <row r="1064" spans="3:3" x14ac:dyDescent="0.4">
      <c r="C1064" s="42"/>
    </row>
    <row r="1066" spans="3:3" x14ac:dyDescent="0.4">
      <c r="C1066" s="42"/>
    </row>
    <row r="1072" spans="3:3" x14ac:dyDescent="0.4">
      <c r="C1072" s="42"/>
    </row>
    <row r="1074" spans="3:3" x14ac:dyDescent="0.4">
      <c r="C1074" s="42"/>
    </row>
    <row r="1076" spans="3:3" x14ac:dyDescent="0.4">
      <c r="C1076" s="42"/>
    </row>
    <row r="1082" spans="3:3" x14ac:dyDescent="0.4">
      <c r="C1082" s="42"/>
    </row>
    <row r="1084" spans="3:3" x14ac:dyDescent="0.4">
      <c r="C1084" s="42"/>
    </row>
    <row r="1086" spans="3:3" x14ac:dyDescent="0.4">
      <c r="C1086" s="42"/>
    </row>
    <row r="1092" spans="3:3" x14ac:dyDescent="0.4">
      <c r="C1092" s="42"/>
    </row>
    <row r="1094" spans="3:3" x14ac:dyDescent="0.4">
      <c r="C1094" s="42"/>
    </row>
    <row r="1096" spans="3:3" x14ac:dyDescent="0.4">
      <c r="C1096" s="42"/>
    </row>
    <row r="1102" spans="3:3" x14ac:dyDescent="0.4">
      <c r="C1102" s="42"/>
    </row>
    <row r="1104" spans="3:3" x14ac:dyDescent="0.4">
      <c r="C1104" s="42"/>
    </row>
    <row r="1106" spans="3:3" x14ac:dyDescent="0.4">
      <c r="C1106" s="42"/>
    </row>
    <row r="1112" spans="3:3" x14ac:dyDescent="0.4">
      <c r="C1112" s="42"/>
    </row>
    <row r="1114" spans="3:3" x14ac:dyDescent="0.4">
      <c r="C1114" s="42"/>
    </row>
    <row r="1116" spans="3:3" x14ac:dyDescent="0.4">
      <c r="C1116" s="42"/>
    </row>
    <row r="1122" spans="3:3" x14ac:dyDescent="0.4">
      <c r="C1122" s="42"/>
    </row>
    <row r="1124" spans="3:3" x14ac:dyDescent="0.4">
      <c r="C1124" s="42"/>
    </row>
    <row r="1126" spans="3:3" x14ac:dyDescent="0.4">
      <c r="C1126" s="42"/>
    </row>
    <row r="1132" spans="3:3" x14ac:dyDescent="0.4">
      <c r="C1132" s="42"/>
    </row>
    <row r="1134" spans="3:3" x14ac:dyDescent="0.4">
      <c r="C1134" s="42"/>
    </row>
    <row r="1136" spans="3:3" x14ac:dyDescent="0.4">
      <c r="C1136" s="42"/>
    </row>
    <row r="1142" spans="3:3" x14ac:dyDescent="0.4">
      <c r="C1142" s="42"/>
    </row>
    <row r="1144" spans="3:3" x14ac:dyDescent="0.4">
      <c r="C1144" s="42"/>
    </row>
    <row r="1146" spans="3:3" x14ac:dyDescent="0.4">
      <c r="C1146" s="42"/>
    </row>
    <row r="1152" spans="3:3" x14ac:dyDescent="0.4">
      <c r="C1152" s="42"/>
    </row>
    <row r="1154" spans="3:3" x14ac:dyDescent="0.4">
      <c r="C1154" s="42"/>
    </row>
    <row r="1156" spans="3:3" x14ac:dyDescent="0.4">
      <c r="C1156" s="42"/>
    </row>
    <row r="1162" spans="3:3" x14ac:dyDescent="0.4">
      <c r="C1162" s="42"/>
    </row>
    <row r="1164" spans="3:3" x14ac:dyDescent="0.4">
      <c r="C1164" s="42"/>
    </row>
    <row r="1166" spans="3:3" x14ac:dyDescent="0.4">
      <c r="C1166" s="42"/>
    </row>
    <row r="1172" spans="3:3" x14ac:dyDescent="0.4">
      <c r="C1172" s="42"/>
    </row>
    <row r="1174" spans="3:3" x14ac:dyDescent="0.4">
      <c r="C1174" s="42"/>
    </row>
    <row r="1176" spans="3:3" x14ac:dyDescent="0.4">
      <c r="C1176" s="42"/>
    </row>
    <row r="1182" spans="3:3" x14ac:dyDescent="0.4">
      <c r="C1182" s="42"/>
    </row>
    <row r="1184" spans="3:3" x14ac:dyDescent="0.4">
      <c r="C1184" s="42"/>
    </row>
    <row r="1186" spans="3:3" x14ac:dyDescent="0.4">
      <c r="C1186" s="42"/>
    </row>
    <row r="1192" spans="3:3" x14ac:dyDescent="0.4">
      <c r="C1192" s="42"/>
    </row>
    <row r="1194" spans="3:3" x14ac:dyDescent="0.4">
      <c r="C1194" s="42"/>
    </row>
    <row r="1196" spans="3:3" x14ac:dyDescent="0.4">
      <c r="C1196" s="42"/>
    </row>
    <row r="1202" spans="3:3" x14ac:dyDescent="0.4">
      <c r="C1202" s="42"/>
    </row>
    <row r="1204" spans="3:3" x14ac:dyDescent="0.4">
      <c r="C1204" s="42"/>
    </row>
    <row r="1206" spans="3:3" x14ac:dyDescent="0.4">
      <c r="C1206" s="42"/>
    </row>
  </sheetData>
  <phoneticPr fontId="1"/>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8"/>
  <sheetViews>
    <sheetView workbookViewId="0"/>
  </sheetViews>
  <sheetFormatPr defaultColWidth="10.625" defaultRowHeight="18.75" x14ac:dyDescent="0.4"/>
  <cols>
    <col min="1" max="1" width="15.75" customWidth="1"/>
    <col min="2" max="2" width="16.125" customWidth="1"/>
    <col min="3" max="3" width="13.375" customWidth="1"/>
    <col min="4" max="4" width="10.75" bestFit="1" customWidth="1"/>
    <col min="5" max="5" width="15.25" customWidth="1"/>
    <col min="6" max="6" width="10.75" bestFit="1" customWidth="1"/>
    <col min="7" max="7" width="25.125" bestFit="1" customWidth="1"/>
    <col min="8" max="16" width="10.75" bestFit="1" customWidth="1"/>
    <col min="18" max="19" width="10.75" bestFit="1" customWidth="1"/>
    <col min="22" max="23" width="10.75" bestFit="1" customWidth="1"/>
    <col min="25" max="26" width="10.75" bestFit="1" customWidth="1"/>
    <col min="28" max="28" width="10.75" bestFit="1" customWidth="1"/>
    <col min="29" max="29" width="27.875" customWidth="1"/>
    <col min="30" max="33" width="10.75" bestFit="1" customWidth="1"/>
  </cols>
  <sheetData>
    <row r="1" spans="1:3" x14ac:dyDescent="0.4">
      <c r="A1" t="s">
        <v>590</v>
      </c>
      <c r="B1">
        <v>3</v>
      </c>
    </row>
    <row r="2" spans="1:3" x14ac:dyDescent="0.4">
      <c r="A2" t="s">
        <v>597</v>
      </c>
      <c r="B2" s="7" t="s">
        <v>399</v>
      </c>
    </row>
    <row r="3" spans="1:3" x14ac:dyDescent="0.4">
      <c r="A3" t="s">
        <v>589</v>
      </c>
      <c r="C3" t="s">
        <v>646</v>
      </c>
    </row>
    <row r="4" spans="1:3" x14ac:dyDescent="0.4">
      <c r="A4" t="s">
        <v>590</v>
      </c>
      <c r="C4">
        <v>3</v>
      </c>
    </row>
    <row r="5" spans="1:3" x14ac:dyDescent="0.4">
      <c r="A5" t="s">
        <v>591</v>
      </c>
      <c r="C5" t="s">
        <v>647</v>
      </c>
    </row>
    <row r="6" spans="1:3" x14ac:dyDescent="0.4">
      <c r="A6" t="s">
        <v>592</v>
      </c>
      <c r="C6">
        <v>0</v>
      </c>
    </row>
    <row r="7" spans="1:3" x14ac:dyDescent="0.4">
      <c r="A7" t="s">
        <v>593</v>
      </c>
    </row>
    <row r="8" spans="1:3" x14ac:dyDescent="0.4">
      <c r="A8" t="s">
        <v>594</v>
      </c>
      <c r="B8" t="s">
        <v>598</v>
      </c>
      <c r="C8" t="s">
        <v>399</v>
      </c>
    </row>
    <row r="9" spans="1:3" x14ac:dyDescent="0.4">
      <c r="A9" t="s">
        <v>610</v>
      </c>
      <c r="B9" t="s">
        <v>611</v>
      </c>
    </row>
    <row r="10" spans="1:3" x14ac:dyDescent="0.4">
      <c r="A10" t="s">
        <v>625</v>
      </c>
      <c r="B10" t="s">
        <v>612</v>
      </c>
    </row>
    <row r="11" spans="1:3" x14ac:dyDescent="0.4">
      <c r="A11" t="s">
        <v>596</v>
      </c>
      <c r="B11" t="s">
        <v>599</v>
      </c>
      <c r="C11">
        <v>0</v>
      </c>
    </row>
    <row r="12" spans="1:3" x14ac:dyDescent="0.4">
      <c r="A12" t="s">
        <v>38</v>
      </c>
      <c r="B12" t="s">
        <v>600</v>
      </c>
    </row>
    <row r="13" spans="1:3" x14ac:dyDescent="0.4">
      <c r="A13" t="s">
        <v>602</v>
      </c>
      <c r="B13" t="s">
        <v>603</v>
      </c>
      <c r="C13">
        <v>0</v>
      </c>
    </row>
    <row r="14" spans="1:3" x14ac:dyDescent="0.4">
      <c r="A14" t="s">
        <v>604</v>
      </c>
      <c r="B14" t="s">
        <v>605</v>
      </c>
    </row>
    <row r="15" spans="1:3" x14ac:dyDescent="0.4">
      <c r="A15" t="s">
        <v>626</v>
      </c>
      <c r="B15" t="s">
        <v>627</v>
      </c>
      <c r="C15">
        <v>202610071104</v>
      </c>
    </row>
    <row r="16" spans="1:3" x14ac:dyDescent="0.4">
      <c r="A16" t="s">
        <v>628</v>
      </c>
      <c r="B16" t="s">
        <v>629</v>
      </c>
      <c r="C16">
        <v>19279494</v>
      </c>
    </row>
    <row r="17" spans="1:3" x14ac:dyDescent="0.4">
      <c r="A17" t="s">
        <v>630</v>
      </c>
      <c r="B17" t="s">
        <v>631</v>
      </c>
      <c r="C17">
        <v>2400000</v>
      </c>
    </row>
    <row r="18" spans="1:3" x14ac:dyDescent="0.4">
      <c r="A18" t="s">
        <v>632</v>
      </c>
      <c r="B18" t="s">
        <v>633</v>
      </c>
      <c r="C18">
        <v>0</v>
      </c>
    </row>
  </sheetData>
  <phoneticPr fontId="1"/>
  <pageMargins left="0.39370078740157483" right="0.23622047244094491" top="0.74803149606299213" bottom="0.74803149606299213" header="0.31496062992125984" footer="0.31496062992125984"/>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e_API_read_me</vt:lpstr>
      <vt:lpstr>暗号化</vt:lpstr>
      <vt:lpstr>ログイン</vt:lpstr>
      <vt:lpstr>照会</vt:lpstr>
      <vt:lpstr>現物</vt:lpstr>
      <vt:lpstr>信用</vt:lpstr>
      <vt:lpstr>訂正取消</vt:lpstr>
      <vt:lpstr>株価</vt:lpstr>
      <vt:lpstr>マスター</vt:lpstr>
      <vt:lpstr>api_応答</vt:lpstr>
      <vt:lpstr>結果</vt:lpstr>
    </vt:vector>
  </TitlesOfParts>
  <Company>HP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yoshio</dc:creator>
  <cp:lastModifiedBy>公益財団法人　石井記念証券研究振興財団</cp:lastModifiedBy>
  <cp:lastPrinted>2023-05-31T03:00:42Z</cp:lastPrinted>
  <dcterms:created xsi:type="dcterms:W3CDTF">2021-07-30T00:58:19Z</dcterms:created>
  <dcterms:modified xsi:type="dcterms:W3CDTF">2026-10-07T03:41:03Z</dcterms:modified>
</cp:coreProperties>
</file>